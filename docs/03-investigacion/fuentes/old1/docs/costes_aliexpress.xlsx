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matachanagroup-my.sharepoint.com/personal/v_garcia_matachana-ind_com/Documents/"/>
    </mc:Choice>
  </mc:AlternateContent>
  <xr:revisionPtr revIDLastSave="0" documentId="8_{31CD0973-6423-4FBB-9F2C-DDA553711051}" xr6:coauthVersionLast="47" xr6:coauthVersionMax="47" xr10:uidLastSave="{00000000-0000-0000-0000-000000000000}"/>
  <bookViews>
    <workbookView xWindow="-29025" yWindow="16080" windowWidth="29040" windowHeight="15720" xr2:uid="{00000000-000D-0000-FFFF-FFFF00000000}"/>
  </bookViews>
  <sheets>
    <sheet name="Datos" sheetId="1" r:id="rId1"/>
    <sheet name="kits" sheetId="3" r:id="rId2"/>
    <sheet name="Hoja1" sheetId="2" r:id="rId3"/>
    <sheet name="Hoja2" sheetId="4" r:id="rId4"/>
    <sheet name="Hoja3" sheetId="5" r:id="rId5"/>
  </sheets>
  <definedNames>
    <definedName name="_xlnm._FilterDatabase" localSheetId="0" hidden="1">Datos!$B$4:$Q$26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19" i="1"/>
  <c r="G40" i="1"/>
  <c r="P40" i="1"/>
  <c r="O40" i="1"/>
  <c r="H40" i="1"/>
  <c r="N40" i="1"/>
  <c r="M40" i="1"/>
  <c r="L40" i="1"/>
  <c r="D40" i="1"/>
  <c r="J40" i="1"/>
  <c r="I40" i="1"/>
  <c r="E15" i="1"/>
  <c r="E20" i="1"/>
  <c r="G20" i="1"/>
  <c r="P20" i="1"/>
  <c r="O20" i="1"/>
  <c r="H20" i="1"/>
  <c r="N20" i="1"/>
  <c r="M20" i="1"/>
  <c r="L20" i="1"/>
  <c r="D20" i="1"/>
  <c r="J20" i="1"/>
  <c r="I20" i="1"/>
  <c r="D15" i="1"/>
  <c r="J15" i="1"/>
  <c r="D5" i="1"/>
  <c r="J5" i="1"/>
  <c r="D6" i="1"/>
  <c r="J6" i="1"/>
  <c r="D7" i="1"/>
  <c r="J7" i="1"/>
  <c r="D9" i="1"/>
  <c r="J9" i="1"/>
  <c r="D10" i="1"/>
  <c r="E10" i="1"/>
  <c r="J10" i="1"/>
  <c r="D11" i="1"/>
  <c r="E11" i="1"/>
  <c r="J11" i="1"/>
  <c r="D12" i="1"/>
  <c r="J12" i="1"/>
  <c r="D13" i="1"/>
  <c r="J13" i="1"/>
  <c r="D14" i="1"/>
  <c r="J14" i="1"/>
  <c r="D16" i="1"/>
  <c r="E16" i="1"/>
  <c r="J16" i="1"/>
  <c r="D17" i="1"/>
  <c r="J17" i="1"/>
  <c r="D18" i="1"/>
  <c r="E18" i="1"/>
  <c r="J18" i="1"/>
  <c r="S5" i="1"/>
  <c r="C29" i="3"/>
  <c r="G13" i="1"/>
  <c r="H13" i="1"/>
  <c r="I13" i="1"/>
  <c r="L13" i="1"/>
  <c r="M13" i="1"/>
  <c r="N13" i="1"/>
  <c r="O13" i="1"/>
  <c r="P13" i="1"/>
  <c r="G14" i="1"/>
  <c r="H14" i="1"/>
  <c r="I14" i="1"/>
  <c r="L14" i="1"/>
  <c r="M14" i="1"/>
  <c r="N14" i="1"/>
  <c r="O14" i="1"/>
  <c r="P14" i="1"/>
  <c r="E21" i="1"/>
  <c r="D21" i="1"/>
  <c r="G21" i="1"/>
  <c r="H21" i="1"/>
  <c r="I21" i="1"/>
  <c r="J21" i="1"/>
  <c r="L21" i="1"/>
  <c r="M21" i="1"/>
  <c r="N21" i="1"/>
  <c r="O21" i="1"/>
  <c r="P21" i="1"/>
  <c r="G17" i="1"/>
  <c r="I17" i="1"/>
  <c r="O17" i="1"/>
  <c r="C12" i="3"/>
  <c r="J14" i="3"/>
  <c r="G14" i="3"/>
  <c r="E14" i="3"/>
  <c r="D14" i="3"/>
  <c r="G29" i="3"/>
  <c r="E29" i="3"/>
  <c r="D29" i="3"/>
  <c r="G11" i="1"/>
  <c r="G18" i="1"/>
  <c r="E22" i="1"/>
  <c r="G22" i="1"/>
  <c r="H22" i="1"/>
  <c r="N22" i="1"/>
  <c r="D22" i="1"/>
  <c r="L11" i="1"/>
  <c r="O11" i="1"/>
  <c r="G12" i="1"/>
  <c r="P12" i="1"/>
  <c r="H12" i="1"/>
  <c r="N12" i="1"/>
  <c r="I12" i="1"/>
  <c r="L12" i="1"/>
  <c r="M12" i="1"/>
  <c r="O12" i="1"/>
  <c r="L22" i="1"/>
  <c r="O22" i="1"/>
  <c r="G15" i="1"/>
  <c r="I15" i="1"/>
  <c r="H15" i="1"/>
  <c r="N15" i="1"/>
  <c r="L15" i="1"/>
  <c r="O15" i="1"/>
  <c r="G19" i="1"/>
  <c r="L35" i="1"/>
  <c r="G10" i="1"/>
  <c r="I10" i="1"/>
  <c r="O10" i="1"/>
  <c r="L10" i="1"/>
  <c r="E23" i="1"/>
  <c r="G23" i="1"/>
  <c r="E24" i="1"/>
  <c r="G24" i="1"/>
  <c r="I24" i="1"/>
  <c r="O23" i="1"/>
  <c r="L23" i="1"/>
  <c r="D23" i="1"/>
  <c r="O24" i="1"/>
  <c r="L24" i="1"/>
  <c r="D24" i="1"/>
  <c r="E35" i="1"/>
  <c r="G35" i="1"/>
  <c r="O35" i="1"/>
  <c r="B1" i="4"/>
  <c r="O25" i="1"/>
  <c r="L25" i="1"/>
  <c r="G25" i="1"/>
  <c r="M25" i="1"/>
  <c r="I25" i="1"/>
  <c r="D25" i="1"/>
  <c r="J25" i="1"/>
  <c r="G29" i="1"/>
  <c r="P29" i="1"/>
  <c r="G27" i="1"/>
  <c r="I27" i="1"/>
  <c r="C19" i="3"/>
  <c r="G17" i="3"/>
  <c r="G19" i="3"/>
  <c r="E19" i="3"/>
  <c r="O22" i="3"/>
  <c r="M22" i="3"/>
  <c r="L22" i="3"/>
  <c r="G22" i="3"/>
  <c r="I22" i="3"/>
  <c r="D22" i="3"/>
  <c r="J22" i="3"/>
  <c r="D23" i="3"/>
  <c r="J23" i="3"/>
  <c r="G23" i="3"/>
  <c r="M23" i="3"/>
  <c r="L23" i="3"/>
  <c r="O23" i="3"/>
  <c r="D24" i="3"/>
  <c r="J24" i="3"/>
  <c r="G24" i="3"/>
  <c r="H24" i="3"/>
  <c r="N24" i="3"/>
  <c r="I24" i="3"/>
  <c r="L24" i="3"/>
  <c r="O24" i="3"/>
  <c r="D25" i="3"/>
  <c r="J25" i="3"/>
  <c r="G25" i="3"/>
  <c r="I25" i="3"/>
  <c r="L25" i="3"/>
  <c r="O25" i="3"/>
  <c r="O17" i="3"/>
  <c r="L17" i="3"/>
  <c r="M17" i="3"/>
  <c r="D17" i="3"/>
  <c r="J17" i="3"/>
  <c r="O16" i="3"/>
  <c r="L16" i="3"/>
  <c r="G16" i="3"/>
  <c r="I16" i="3"/>
  <c r="D16" i="3"/>
  <c r="J16" i="3"/>
  <c r="O11" i="3"/>
  <c r="L11" i="3"/>
  <c r="G11" i="3"/>
  <c r="H11" i="3"/>
  <c r="N11" i="3"/>
  <c r="D11" i="3"/>
  <c r="J11" i="3"/>
  <c r="O10" i="3"/>
  <c r="L10" i="3"/>
  <c r="G10" i="3"/>
  <c r="I10" i="3"/>
  <c r="D10" i="3"/>
  <c r="J10" i="3"/>
  <c r="O9" i="3"/>
  <c r="L9" i="3"/>
  <c r="G9" i="3"/>
  <c r="M9" i="3"/>
  <c r="D9" i="3"/>
  <c r="J9" i="3"/>
  <c r="O8" i="3"/>
  <c r="L8" i="3"/>
  <c r="G8" i="3"/>
  <c r="I8" i="3"/>
  <c r="D8" i="3"/>
  <c r="J8" i="3"/>
  <c r="O7" i="3"/>
  <c r="L7" i="3"/>
  <c r="G7" i="3"/>
  <c r="M7" i="3"/>
  <c r="D7" i="3"/>
  <c r="J7" i="3"/>
  <c r="O6" i="3"/>
  <c r="L6" i="3"/>
  <c r="G6" i="3"/>
  <c r="I6" i="3"/>
  <c r="D6" i="3"/>
  <c r="J6" i="3"/>
  <c r="O5" i="3"/>
  <c r="L5" i="3"/>
  <c r="G5" i="3"/>
  <c r="M5" i="3"/>
  <c r="D5" i="3"/>
  <c r="J5" i="3"/>
  <c r="D26" i="1"/>
  <c r="J26" i="1"/>
  <c r="D35" i="1"/>
  <c r="H17" i="1"/>
  <c r="N17" i="1"/>
  <c r="L17" i="1"/>
  <c r="G9" i="1"/>
  <c r="P9" i="1"/>
  <c r="G7" i="1"/>
  <c r="H7" i="1"/>
  <c r="N7" i="1"/>
  <c r="G6" i="1"/>
  <c r="I6" i="1"/>
  <c r="M6" i="1"/>
  <c r="G5" i="1"/>
  <c r="M5" i="1"/>
  <c r="E30" i="1"/>
  <c r="G30" i="1"/>
  <c r="G39" i="1"/>
  <c r="I39" i="1"/>
  <c r="E38" i="1"/>
  <c r="G38" i="1"/>
  <c r="G37" i="1"/>
  <c r="I37" i="1"/>
  <c r="E36" i="1"/>
  <c r="G36" i="1"/>
  <c r="I36" i="1"/>
  <c r="G34" i="1"/>
  <c r="H34" i="1"/>
  <c r="N34" i="1"/>
  <c r="G33" i="1"/>
  <c r="H33" i="1"/>
  <c r="N33" i="1"/>
  <c r="E32" i="1"/>
  <c r="G32" i="1"/>
  <c r="P32" i="1"/>
  <c r="M32" i="1"/>
  <c r="G31" i="1"/>
  <c r="H31" i="1"/>
  <c r="N31" i="1"/>
  <c r="E28" i="1"/>
  <c r="G28" i="1"/>
  <c r="G26" i="1"/>
  <c r="M26" i="1"/>
  <c r="H26" i="1"/>
  <c r="N26" i="1"/>
  <c r="D3" i="2"/>
  <c r="F3" i="2"/>
  <c r="G3" i="2"/>
  <c r="M3" i="2"/>
  <c r="M2" i="2"/>
  <c r="C3" i="2"/>
  <c r="I3" i="2"/>
  <c r="K3" i="2"/>
  <c r="L3" i="2"/>
  <c r="N3" i="2"/>
  <c r="L9" i="1"/>
  <c r="O9" i="1"/>
  <c r="N5" i="2"/>
  <c r="L5" i="2"/>
  <c r="K5" i="2"/>
  <c r="F5" i="2"/>
  <c r="G5" i="2"/>
  <c r="M5" i="2"/>
  <c r="C5" i="2"/>
  <c r="I5" i="2"/>
  <c r="N4" i="2"/>
  <c r="K4" i="2"/>
  <c r="D4" i="2"/>
  <c r="F4" i="2"/>
  <c r="C4" i="2"/>
  <c r="I4" i="2"/>
  <c r="D19" i="1"/>
  <c r="J19" i="1"/>
  <c r="L19" i="1"/>
  <c r="O19" i="1"/>
  <c r="D30" i="1"/>
  <c r="L30" i="1"/>
  <c r="O30" i="1"/>
  <c r="L7" i="1"/>
  <c r="O7" i="1"/>
  <c r="L6" i="1"/>
  <c r="O6" i="1"/>
  <c r="L5" i="1"/>
  <c r="O5" i="1"/>
  <c r="L18" i="1"/>
  <c r="O18" i="1"/>
  <c r="L16" i="1"/>
  <c r="O16" i="1"/>
  <c r="D39" i="1"/>
  <c r="J39" i="1"/>
  <c r="L39" i="1"/>
  <c r="O39" i="1"/>
  <c r="D38" i="1"/>
  <c r="L38" i="1"/>
  <c r="O38" i="1"/>
  <c r="D37" i="1"/>
  <c r="J37" i="1"/>
  <c r="L37" i="1"/>
  <c r="O37" i="1"/>
  <c r="D36" i="1"/>
  <c r="L36" i="1"/>
  <c r="O36" i="1"/>
  <c r="D34" i="1"/>
  <c r="J34" i="1"/>
  <c r="L34" i="1"/>
  <c r="O34" i="1"/>
  <c r="D33" i="1"/>
  <c r="J33" i="1"/>
  <c r="L33" i="1"/>
  <c r="O33" i="1"/>
  <c r="D32" i="1"/>
  <c r="L32" i="1"/>
  <c r="O32" i="1"/>
  <c r="D31" i="1"/>
  <c r="J31" i="1"/>
  <c r="L31" i="1"/>
  <c r="O31" i="1"/>
  <c r="D29" i="1"/>
  <c r="J29" i="1"/>
  <c r="L29" i="1"/>
  <c r="O29" i="1"/>
  <c r="D28" i="1"/>
  <c r="L28" i="1"/>
  <c r="O28" i="1"/>
  <c r="D27" i="1"/>
  <c r="J27" i="1"/>
  <c r="L27" i="1"/>
  <c r="O27" i="1"/>
  <c r="L26" i="1"/>
  <c r="O26" i="1"/>
  <c r="G4" i="2"/>
  <c r="M4" i="2"/>
  <c r="L4" i="2"/>
  <c r="P7" i="1"/>
  <c r="H22" i="3"/>
  <c r="N22" i="3"/>
  <c r="M11" i="3"/>
  <c r="I9" i="3"/>
  <c r="M25" i="3"/>
  <c r="H23" i="3"/>
  <c r="N23" i="3"/>
  <c r="H8" i="3"/>
  <c r="N8" i="3"/>
  <c r="M16" i="3"/>
  <c r="M8" i="3"/>
  <c r="J19" i="3"/>
  <c r="I23" i="3"/>
  <c r="H7" i="3"/>
  <c r="N7" i="3"/>
  <c r="M10" i="3"/>
  <c r="I7" i="3"/>
  <c r="M24" i="3"/>
  <c r="D19" i="3"/>
  <c r="H25" i="3"/>
  <c r="N25" i="3"/>
  <c r="H17" i="3"/>
  <c r="N17" i="3"/>
  <c r="I17" i="3"/>
  <c r="H16" i="3"/>
  <c r="N16" i="3"/>
  <c r="I11" i="3"/>
  <c r="H10" i="3"/>
  <c r="N10" i="3"/>
  <c r="H5" i="3"/>
  <c r="N5" i="3"/>
  <c r="H9" i="3"/>
  <c r="N9" i="3"/>
  <c r="I5" i="3"/>
  <c r="M6" i="3"/>
  <c r="H6" i="3"/>
  <c r="N6" i="3"/>
  <c r="M11" i="1"/>
  <c r="I11" i="1"/>
  <c r="P35" i="1"/>
  <c r="I35" i="1"/>
  <c r="G16" i="1"/>
  <c r="I33" i="1"/>
  <c r="J32" i="1"/>
  <c r="H5" i="1"/>
  <c r="N5" i="1"/>
  <c r="P37" i="1"/>
  <c r="H37" i="1"/>
  <c r="N37" i="1"/>
  <c r="P27" i="1"/>
  <c r="J22" i="1"/>
  <c r="M33" i="1"/>
  <c r="J35" i="1"/>
  <c r="M31" i="1"/>
  <c r="M9" i="1"/>
  <c r="J24" i="1"/>
  <c r="J29" i="3"/>
  <c r="H11" i="1"/>
  <c r="N11" i="1"/>
  <c r="I16" i="1"/>
  <c r="P16" i="1"/>
  <c r="P22" i="1"/>
  <c r="M22" i="1"/>
  <c r="I22" i="1"/>
  <c r="P11" i="1"/>
  <c r="P15" i="1"/>
  <c r="M15" i="1"/>
  <c r="H19" i="1"/>
  <c r="N19" i="1"/>
  <c r="M19" i="1"/>
  <c r="J36" i="1"/>
  <c r="M29" i="1"/>
  <c r="P26" i="1"/>
  <c r="H29" i="1"/>
  <c r="N29" i="1"/>
  <c r="I34" i="1"/>
  <c r="I26" i="1"/>
  <c r="M27" i="1"/>
  <c r="P17" i="1"/>
  <c r="J28" i="1"/>
  <c r="I9" i="1"/>
  <c r="J30" i="1"/>
  <c r="M37" i="1"/>
  <c r="M34" i="1"/>
  <c r="P34" i="1"/>
  <c r="H27" i="1"/>
  <c r="N27" i="1"/>
  <c r="M38" i="1"/>
  <c r="H38" i="1"/>
  <c r="N38" i="1"/>
  <c r="P38" i="1"/>
  <c r="I38" i="1"/>
  <c r="I18" i="1"/>
  <c r="P18" i="1"/>
  <c r="H18" i="1"/>
  <c r="N18" i="1"/>
  <c r="P30" i="1"/>
  <c r="H30" i="1"/>
  <c r="N30" i="1"/>
  <c r="M30" i="1"/>
  <c r="I7" i="1"/>
  <c r="J38" i="1"/>
  <c r="T18" i="1"/>
  <c r="P19" i="1"/>
  <c r="H36" i="1"/>
  <c r="N36" i="1"/>
  <c r="M35" i="1"/>
  <c r="M36" i="1"/>
  <c r="H6" i="1"/>
  <c r="N6" i="1"/>
  <c r="I19" i="1"/>
  <c r="H25" i="1"/>
  <c r="N25" i="1"/>
  <c r="T17" i="1"/>
  <c r="P39" i="1"/>
  <c r="P6" i="1"/>
  <c r="P25" i="1"/>
  <c r="J23" i="1"/>
  <c r="I29" i="1"/>
  <c r="I23" i="1"/>
  <c r="P23" i="1"/>
  <c r="H23" i="1"/>
  <c r="N23" i="1"/>
  <c r="M23" i="1"/>
  <c r="H28" i="1"/>
  <c r="N28" i="1"/>
  <c r="P28" i="1"/>
  <c r="I28" i="1"/>
  <c r="M28" i="1"/>
  <c r="M18" i="1"/>
  <c r="M39" i="1"/>
  <c r="H39" i="1"/>
  <c r="N39" i="1"/>
  <c r="M24" i="1"/>
  <c r="M10" i="1"/>
  <c r="I31" i="1"/>
  <c r="I30" i="1"/>
  <c r="I32" i="1"/>
  <c r="M17" i="1"/>
  <c r="H24" i="1"/>
  <c r="N24" i="1"/>
  <c r="H10" i="1"/>
  <c r="N10" i="1"/>
  <c r="H35" i="1"/>
  <c r="N35" i="1"/>
  <c r="P33" i="1"/>
  <c r="H9" i="1"/>
  <c r="N9" i="1"/>
  <c r="I5" i="1"/>
  <c r="P36" i="1"/>
  <c r="M7" i="1"/>
  <c r="P24" i="1"/>
  <c r="P10" i="1"/>
  <c r="P31" i="1"/>
  <c r="H32" i="1"/>
  <c r="N32" i="1"/>
  <c r="P5" i="1"/>
  <c r="M16" i="1"/>
  <c r="H16" i="1"/>
  <c r="N16" i="1"/>
  <c r="T19" i="1"/>
  <c r="T24" i="1"/>
  <c r="T22" i="1"/>
  <c r="T27" i="1"/>
  <c r="T26" i="1"/>
  <c r="T28" i="1"/>
</calcChain>
</file>

<file path=xl/sharedStrings.xml><?xml version="1.0" encoding="utf-8"?>
<sst xmlns="http://schemas.openxmlformats.org/spreadsheetml/2006/main" count="189" uniqueCount="86">
  <si>
    <t>Transcripción de costes y precios desde la imagen</t>
  </si>
  <si>
    <t>Los nombres marcados como revisables son los que no se leen con total seguridad en la foto. Las columnas con fórmulas recalculan venta y margen.</t>
  </si>
  <si>
    <t>Estado stock</t>
  </si>
  <si>
    <t>Producto</t>
  </si>
  <si>
    <t>Precio venta ud. (€)</t>
  </si>
  <si>
    <t>Venta total (€)</t>
  </si>
  <si>
    <t>Coste total (€)</t>
  </si>
  <si>
    <t>Unidades</t>
  </si>
  <si>
    <t>Coste ud. exacto (€)</t>
  </si>
  <si>
    <t>Beneficio ud. (€)</t>
  </si>
  <si>
    <t>Margen porcentual</t>
  </si>
  <si>
    <t>Beneficio potencial(€)</t>
  </si>
  <si>
    <t>Vendido</t>
  </si>
  <si>
    <t>€ vendidos</t>
  </si>
  <si>
    <t>Coste de venta</t>
  </si>
  <si>
    <t>Beneficio actual</t>
  </si>
  <si>
    <t>vendido</t>
  </si>
  <si>
    <t>beneficio trading</t>
  </si>
  <si>
    <t>notas</t>
  </si>
  <si>
    <t>No publicado</t>
  </si>
  <si>
    <t xml:space="preserve">torniquete </t>
  </si>
  <si>
    <t>En venta</t>
  </si>
  <si>
    <t>Protector Eotech</t>
  </si>
  <si>
    <t>Resumen</t>
  </si>
  <si>
    <t>x2 9 mm</t>
  </si>
  <si>
    <t>kit earmor m32 + adaptador casco + ptt</t>
  </si>
  <si>
    <t>shortdot+alza</t>
  </si>
  <si>
    <t>gafas pyramex oscuras</t>
  </si>
  <si>
    <t>gafas pyramex trasparentes</t>
  </si>
  <si>
    <t>Mascaras 2o pedido</t>
  </si>
  <si>
    <t>Ventiladores 3r pedido</t>
  </si>
  <si>
    <t>Mascara nb copy 2</t>
  </si>
  <si>
    <t>Ventilador</t>
  </si>
  <si>
    <t>2 unidad vendida en pack gafas</t>
  </si>
  <si>
    <t>Antenas cortas</t>
  </si>
  <si>
    <t>El primer pack de dos que vendí estaba a 10 € y tenía varios likes lo bajé de precio y al día o así entro venta directas sin hablar</t>
  </si>
  <si>
    <t>Coste total de productos</t>
  </si>
  <si>
    <t>Balaclava</t>
  </si>
  <si>
    <t>Venta potencial</t>
  </si>
  <si>
    <t>cascos earmor m32se + ptt</t>
  </si>
  <si>
    <t>en mano el ptt que le entregue no funcionaba, hacia que el sonido solo se escuchara por la izquierda, le he dado el mio que si que iba</t>
  </si>
  <si>
    <t>Beneficio potencial</t>
  </si>
  <si>
    <t>Mascara</t>
  </si>
  <si>
    <t>al final resulto que con los nuevos ptt hay que empujar fuerte para que se oiga la radio yhkema me dio unos auriculares nuevos y les pasaba lo mismo</t>
  </si>
  <si>
    <t>wallapop</t>
  </si>
  <si>
    <t>ventilador + gafas oscuras + Mascara + balaclava</t>
  </si>
  <si>
    <t>Margen medio potencial</t>
  </si>
  <si>
    <t>ventilador + Mascara + balaclava</t>
  </si>
  <si>
    <t>,</t>
  </si>
  <si>
    <t>Mascara +balaclava</t>
  </si>
  <si>
    <t>en mano</t>
  </si>
  <si>
    <t>Rentabilidad potencial</t>
  </si>
  <si>
    <t>maleton kiefer</t>
  </si>
  <si>
    <t>maleton roma</t>
  </si>
  <si>
    <t>Beneficio de lo vendido actualmente</t>
  </si>
  <si>
    <t>Mira Eotech</t>
  </si>
  <si>
    <t>poco margen venta a italia</t>
  </si>
  <si>
    <t>Coste de lo vendido actualmente</t>
  </si>
  <si>
    <t xml:space="preserve">kit radio cascos ptt pouch </t>
  </si>
  <si>
    <t>vendidas por roma</t>
  </si>
  <si>
    <t>Rentabilidad</t>
  </si>
  <si>
    <t>1 unidad vendida en pack gafas</t>
  </si>
  <si>
    <t>maleton thunders</t>
  </si>
  <si>
    <t>en mano vendidas por roma a los thunder</t>
  </si>
  <si>
    <t>Gafas + ventilador</t>
  </si>
  <si>
    <t>vendido a comprador con urgencia (necesitaba unas gafas para el siguiente finde y me ha comprado todo por puro impulso)</t>
  </si>
  <si>
    <t>Earmor + ptt + adaptador casco</t>
  </si>
  <si>
    <t>buen margen venta presencial</t>
  </si>
  <si>
    <t>Mascara nb copy + balaclava</t>
  </si>
  <si>
    <t>vendida por roma en mano</t>
  </si>
  <si>
    <t>9/556</t>
  </si>
  <si>
    <t>rebajado, precio ud inicial 5€ unidad</t>
  </si>
  <si>
    <t>PS4</t>
  </si>
  <si>
    <t>compra para mi :)</t>
  </si>
  <si>
    <t>kit</t>
  </si>
  <si>
    <t>funda</t>
  </si>
  <si>
    <t>casco negro</t>
  </si>
  <si>
    <t>gafas pyramex v2g</t>
  </si>
  <si>
    <t>precio venta</t>
  </si>
  <si>
    <t>margen</t>
  </si>
  <si>
    <t>trading profit</t>
  </si>
  <si>
    <t>coste total</t>
  </si>
  <si>
    <t>beneficio</t>
  </si>
  <si>
    <t>cinturon tactico</t>
  </si>
  <si>
    <t>polos</t>
  </si>
  <si>
    <t>alza mira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</si>
</sst>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1">
    <font>
      <sz val="11"/>
      <name val="Carlito"/>
    </font>
    <font>
      <b/>
      <sz val="16"/>
      <color rgb="FF1F2937"/>
      <name val="Carlito"/>
    </font>
    <font>
      <i/>
      <sz val="11"/>
      <color rgb="FF4B5563"/>
      <name val="Carlito"/>
    </font>
    <font>
      <b/>
      <sz val="11"/>
      <name val="Carlito"/>
    </font>
    <font>
      <b/>
      <sz val="13"/>
      <color rgb="FF111827"/>
      <name val="Carlito"/>
    </font>
    <font>
      <b/>
      <sz val="14"/>
      <color rgb="FF111827"/>
      <name val="Carlito"/>
    </font>
    <font>
      <b/>
      <sz val="14"/>
      <name val="Carlito"/>
    </font>
    <font>
      <sz val="14"/>
      <name val="Carlito"/>
    </font>
    <font>
      <sz val="15"/>
      <color rgb="FF222222"/>
      <name val="Arial"/>
      <family val="2"/>
    </font>
    <font>
      <b/>
      <sz val="11"/>
      <color rgb="FF222222"/>
      <name val="Arial"/>
      <family val="2"/>
    </font>
    <font>
      <sz val="14"/>
      <name val="Arial Unicode"/>
      <family val="2"/>
    </font>
    <font>
      <b/>
      <sz val="14"/>
      <color rgb="FF111827"/>
      <name val="Arial Unicode"/>
      <family val="2"/>
    </font>
    <font>
      <b/>
      <sz val="14"/>
      <name val="Arial Unicode"/>
      <family val="2"/>
    </font>
    <font>
      <sz val="14"/>
      <color rgb="FF222222"/>
      <name val="Arial Unicode"/>
      <family val="2"/>
    </font>
    <font>
      <sz val="14"/>
      <color rgb="FF111827"/>
      <name val="Arial Unicode"/>
      <family val="2"/>
    </font>
    <font>
      <b/>
      <i/>
      <sz val="11"/>
      <color rgb="FF4B5563"/>
      <name val="Carlito"/>
    </font>
    <font>
      <sz val="11"/>
      <name val="Arial Unicode"/>
      <family val="2"/>
    </font>
    <font>
      <sz val="11"/>
      <color rgb="FF000000"/>
      <name val="Aptos Narrow"/>
      <family val="2"/>
    </font>
    <font>
      <b/>
      <sz val="11"/>
      <color rgb="FF29363D"/>
      <name val="Wallie"/>
    </font>
    <font>
      <sz val="11"/>
      <color rgb="FF29363D"/>
      <name val="Wallie"/>
    </font>
    <font>
      <sz val="11"/>
      <color rgb="FF5C7A89"/>
      <name val="Wallie"/>
    </font>
  </fonts>
  <fills count="13">
    <fill>
      <patternFill patternType="none"/>
    </fill>
    <fill>
      <patternFill patternType="gray125"/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1" xfId="0" applyBorder="1"/>
    <xf numFmtId="0" fontId="0" fillId="8" borderId="1" xfId="0" applyFill="1" applyBorder="1"/>
    <xf numFmtId="0" fontId="0" fillId="9" borderId="1" xfId="0" applyFill="1" applyBorder="1"/>
    <xf numFmtId="0" fontId="0" fillId="6" borderId="1" xfId="0" applyFill="1" applyBorder="1"/>
    <xf numFmtId="0" fontId="0" fillId="7" borderId="1" xfId="0" applyFill="1" applyBorder="1"/>
    <xf numFmtId="0" fontId="5" fillId="4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10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6" fillId="12" borderId="1" xfId="0" applyFont="1" applyFill="1" applyBorder="1" applyAlignment="1">
      <alignment vertical="center"/>
    </xf>
    <xf numFmtId="164" fontId="7" fillId="12" borderId="1" xfId="0" applyNumberFormat="1" applyFont="1" applyFill="1" applyBorder="1" applyAlignment="1">
      <alignment horizontal="center" vertical="center"/>
    </xf>
    <xf numFmtId="1" fontId="7" fillId="12" borderId="1" xfId="0" applyNumberFormat="1" applyFont="1" applyFill="1" applyBorder="1" applyAlignment="1">
      <alignment horizontal="center" vertical="center"/>
    </xf>
    <xf numFmtId="10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 wrapText="1"/>
    </xf>
    <xf numFmtId="164" fontId="7" fillId="12" borderId="1" xfId="0" applyNumberFormat="1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/>
    </xf>
    <xf numFmtId="10" fontId="7" fillId="12" borderId="1" xfId="0" applyNumberFormat="1" applyFont="1" applyFill="1" applyBorder="1" applyAlignment="1">
      <alignment vertical="center" wrapText="1"/>
    </xf>
    <xf numFmtId="10" fontId="7" fillId="0" borderId="1" xfId="0" applyNumberFormat="1" applyFont="1" applyBorder="1" applyAlignment="1">
      <alignment vertical="center" wrapText="1"/>
    </xf>
    <xf numFmtId="10" fontId="0" fillId="0" borderId="0" xfId="0" applyNumberFormat="1"/>
    <xf numFmtId="0" fontId="3" fillId="0" borderId="1" xfId="0" applyFont="1" applyBorder="1" applyAlignment="1">
      <alignment horizontal="center"/>
    </xf>
    <xf numFmtId="10" fontId="0" fillId="0" borderId="0" xfId="0" applyNumberFormat="1" applyAlignment="1">
      <alignment horizontal="center" vertical="center"/>
    </xf>
    <xf numFmtId="0" fontId="9" fillId="0" borderId="0" xfId="0" applyFont="1"/>
    <xf numFmtId="164" fontId="0" fillId="0" borderId="0" xfId="0" applyNumberFormat="1"/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164" fontId="10" fillId="7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1" fontId="10" fillId="7" borderId="1" xfId="0" applyNumberFormat="1" applyFont="1" applyFill="1" applyBorder="1" applyAlignment="1">
      <alignment horizontal="center" vertical="center"/>
    </xf>
    <xf numFmtId="10" fontId="10" fillId="7" borderId="1" xfId="0" applyNumberFormat="1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 wrapText="1"/>
    </xf>
    <xf numFmtId="164" fontId="10" fillId="7" borderId="1" xfId="0" applyNumberFormat="1" applyFont="1" applyFill="1" applyBorder="1" applyAlignment="1">
      <alignment horizontal="center" vertical="center" wrapText="1"/>
    </xf>
    <xf numFmtId="164" fontId="10" fillId="8" borderId="1" xfId="0" applyNumberFormat="1" applyFont="1" applyFill="1" applyBorder="1" applyAlignment="1">
      <alignment horizontal="center" vertical="center"/>
    </xf>
    <xf numFmtId="1" fontId="10" fillId="8" borderId="1" xfId="0" applyNumberFormat="1" applyFont="1" applyFill="1" applyBorder="1" applyAlignment="1">
      <alignment horizontal="center" vertical="center"/>
    </xf>
    <xf numFmtId="10" fontId="10" fillId="8" borderId="1" xfId="0" applyNumberFormat="1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 wrapText="1"/>
    </xf>
    <xf numFmtId="164" fontId="10" fillId="8" borderId="1" xfId="0" applyNumberFormat="1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/>
    </xf>
    <xf numFmtId="1" fontId="10" fillId="6" borderId="1" xfId="0" applyNumberFormat="1" applyFont="1" applyFill="1" applyBorder="1" applyAlignment="1">
      <alignment horizontal="center" vertical="center"/>
    </xf>
    <xf numFmtId="10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" fontId="10" fillId="11" borderId="1" xfId="0" applyNumberFormat="1" applyFont="1" applyFill="1" applyBorder="1" applyAlignment="1">
      <alignment horizontal="center" vertical="center"/>
    </xf>
    <xf numFmtId="10" fontId="10" fillId="11" borderId="1" xfId="0" applyNumberFormat="1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 wrapText="1"/>
    </xf>
    <xf numFmtId="164" fontId="10" fillId="11" borderId="1" xfId="0" applyNumberFormat="1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0" fontId="10" fillId="10" borderId="1" xfId="0" applyNumberFormat="1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/>
    </xf>
    <xf numFmtId="10" fontId="10" fillId="8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10" fontId="10" fillId="7" borderId="1" xfId="0" applyNumberFormat="1" applyFont="1" applyFill="1" applyBorder="1" applyAlignment="1">
      <alignment horizontal="center" vertical="center" wrapText="1"/>
    </xf>
    <xf numFmtId="10" fontId="10" fillId="6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3" fillId="0" borderId="1" xfId="0" applyFont="1" applyBorder="1"/>
    <xf numFmtId="164" fontId="10" fillId="8" borderId="0" xfId="0" applyNumberFormat="1" applyFont="1" applyFill="1" applyAlignment="1">
      <alignment horizontal="center" vertical="center"/>
    </xf>
    <xf numFmtId="0" fontId="16" fillId="0" borderId="0" xfId="0" applyFont="1"/>
    <xf numFmtId="164" fontId="16" fillId="0" borderId="0" xfId="0" applyNumberFormat="1" applyFont="1"/>
    <xf numFmtId="10" fontId="16" fillId="0" borderId="0" xfId="0" applyNumberFormat="1" applyFont="1"/>
    <xf numFmtId="0" fontId="17" fillId="0" borderId="0" xfId="0" applyFont="1"/>
    <xf numFmtId="0" fontId="18" fillId="0" borderId="0" xfId="0" applyFont="1" applyAlignment="1">
      <alignment vertical="center" wrapText="1"/>
    </xf>
    <xf numFmtId="0" fontId="19" fillId="0" borderId="0" xfId="0" applyFont="1" applyAlignment="1">
      <alignment horizontal="left" vertical="center" wrapText="1" inden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21"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  <dxf>
      <font>
        <color rgb="FF000000"/>
      </font>
      <fill>
        <patternFill patternType="solid">
          <fgColor indexed="64"/>
          <bgColor rgb="FF92D050"/>
        </patternFill>
      </fill>
    </dxf>
    <dxf>
      <font>
        <color rgb="FF000000"/>
      </font>
      <fill>
        <patternFill patternType="solid">
          <fgColor indexed="64"/>
          <bgColor rgb="FFFFFF00"/>
        </patternFill>
      </fill>
    </dxf>
    <dxf>
      <font>
        <color rgb="FF000000"/>
      </font>
      <fill>
        <patternFill patternType="solid">
          <fgColor indexed="64"/>
          <bgColor rgb="FFFF0000"/>
        </patternFill>
      </fill>
    </dxf>
  </dxfs>
  <tableStyles count="0" defaultTableStyle="TableStyleMedium2" defaultPivotStyle="PivotStyleLight16"/>
  <colors>
    <mruColors>
      <color rgb="FF00A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542925</xdr:colOff>
      <xdr:row>1</xdr:row>
      <xdr:rowOff>0</xdr:rowOff>
    </xdr:from>
    <xdr:to>
      <xdr:col>4</xdr:col>
      <xdr:colOff>9525</xdr:colOff>
      <xdr:row>2</xdr:row>
      <xdr:rowOff>123825</xdr:rowOff>
    </xdr:to>
    <xdr:sp macro="" textlink="">
      <xdr:nvSpPr>
        <xdr:cNvPr id="5122" name="AutoShape 2" descr="Venta · 8 Jun">
          <a:extLst>
            <a:ext uri="{FF2B5EF4-FFF2-40B4-BE49-F238E27FC236}">
              <a16:creationId xmlns:a16="http://schemas.microsoft.com/office/drawing/2014/main" id="{A8807691-8C89-0412-1ED7-42FA29EB3B32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5</xdr:row>
      <xdr:rowOff>0</xdr:rowOff>
    </xdr:from>
    <xdr:to>
      <xdr:col>4</xdr:col>
      <xdr:colOff>9525</xdr:colOff>
      <xdr:row>6</xdr:row>
      <xdr:rowOff>123825</xdr:rowOff>
    </xdr:to>
    <xdr:sp macro="" textlink="">
      <xdr:nvSpPr>
        <xdr:cNvPr id="5124" name="AutoShape 4" descr="Venta · 4 Jun">
          <a:extLst>
            <a:ext uri="{FF2B5EF4-FFF2-40B4-BE49-F238E27FC236}">
              <a16:creationId xmlns:a16="http://schemas.microsoft.com/office/drawing/2014/main" id="{C7EF6A56-4CFD-A8C3-02B6-3721F5F65303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46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10</xdr:row>
      <xdr:rowOff>0</xdr:rowOff>
    </xdr:from>
    <xdr:to>
      <xdr:col>4</xdr:col>
      <xdr:colOff>9525</xdr:colOff>
      <xdr:row>11</xdr:row>
      <xdr:rowOff>123825</xdr:rowOff>
    </xdr:to>
    <xdr:sp macro="" textlink="">
      <xdr:nvSpPr>
        <xdr:cNvPr id="5126" name="AutoShape 6" descr="Venta · 27 May">
          <a:extLst>
            <a:ext uri="{FF2B5EF4-FFF2-40B4-BE49-F238E27FC236}">
              <a16:creationId xmlns:a16="http://schemas.microsoft.com/office/drawing/2014/main" id="{23E8945F-BD23-C7FF-14D3-98C29ABC1152}"/>
            </a:ext>
          </a:extLst>
        </xdr:cNvPr>
        <xdr:cNvSpPr>
          <a:spLocks noChangeAspect="1" noChangeArrowheads="1"/>
        </xdr:cNvSpPr>
      </xdr:nvSpPr>
      <xdr:spPr bwMode="auto">
        <a:xfrm>
          <a:off x="3057525" y="32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14</xdr:row>
      <xdr:rowOff>0</xdr:rowOff>
    </xdr:from>
    <xdr:to>
      <xdr:col>4</xdr:col>
      <xdr:colOff>9525</xdr:colOff>
      <xdr:row>15</xdr:row>
      <xdr:rowOff>123825</xdr:rowOff>
    </xdr:to>
    <xdr:sp macro="" textlink="">
      <xdr:nvSpPr>
        <xdr:cNvPr id="5128" name="AutoShape 8" descr="Venta · 20 May">
          <a:extLst>
            <a:ext uri="{FF2B5EF4-FFF2-40B4-BE49-F238E27FC236}">
              <a16:creationId xmlns:a16="http://schemas.microsoft.com/office/drawing/2014/main" id="{AE53B747-7770-FDFE-D47C-18658463DA3F}"/>
            </a:ext>
          </a:extLst>
        </xdr:cNvPr>
        <xdr:cNvSpPr>
          <a:spLocks noChangeAspect="1" noChangeArrowheads="1"/>
        </xdr:cNvSpPr>
      </xdr:nvSpPr>
      <xdr:spPr bwMode="auto">
        <a:xfrm>
          <a:off x="3057525" y="493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18</xdr:row>
      <xdr:rowOff>0</xdr:rowOff>
    </xdr:from>
    <xdr:to>
      <xdr:col>4</xdr:col>
      <xdr:colOff>9525</xdr:colOff>
      <xdr:row>19</xdr:row>
      <xdr:rowOff>123825</xdr:rowOff>
    </xdr:to>
    <xdr:sp macro="" textlink="">
      <xdr:nvSpPr>
        <xdr:cNvPr id="5130" name="AutoShape 10" descr="Venta · 14 May">
          <a:extLst>
            <a:ext uri="{FF2B5EF4-FFF2-40B4-BE49-F238E27FC236}">
              <a16:creationId xmlns:a16="http://schemas.microsoft.com/office/drawing/2014/main" id="{CBEEC5BD-AACE-3358-2C8E-7960C5600A5D}"/>
            </a:ext>
          </a:extLst>
        </xdr:cNvPr>
        <xdr:cNvSpPr>
          <a:spLocks noChangeAspect="1" noChangeArrowheads="1"/>
        </xdr:cNvSpPr>
      </xdr:nvSpPr>
      <xdr:spPr bwMode="auto">
        <a:xfrm>
          <a:off x="3057525" y="62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23</xdr:row>
      <xdr:rowOff>0</xdr:rowOff>
    </xdr:from>
    <xdr:to>
      <xdr:col>4</xdr:col>
      <xdr:colOff>9525</xdr:colOff>
      <xdr:row>24</xdr:row>
      <xdr:rowOff>123825</xdr:rowOff>
    </xdr:to>
    <xdr:sp macro="" textlink="">
      <xdr:nvSpPr>
        <xdr:cNvPr id="5132" name="AutoShape 12" descr="Venta · 30 Apr">
          <a:extLst>
            <a:ext uri="{FF2B5EF4-FFF2-40B4-BE49-F238E27FC236}">
              <a16:creationId xmlns:a16="http://schemas.microsoft.com/office/drawing/2014/main" id="{A59967F1-4F8F-CF09-3446-45D83C11C944}"/>
            </a:ext>
          </a:extLst>
        </xdr:cNvPr>
        <xdr:cNvSpPr>
          <a:spLocks noChangeAspect="1" noChangeArrowheads="1"/>
        </xdr:cNvSpPr>
      </xdr:nvSpPr>
      <xdr:spPr bwMode="auto">
        <a:xfrm>
          <a:off x="3057525" y="80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27</xdr:row>
      <xdr:rowOff>0</xdr:rowOff>
    </xdr:from>
    <xdr:to>
      <xdr:col>4</xdr:col>
      <xdr:colOff>9525</xdr:colOff>
      <xdr:row>28</xdr:row>
      <xdr:rowOff>123825</xdr:rowOff>
    </xdr:to>
    <xdr:sp macro="" textlink="">
      <xdr:nvSpPr>
        <xdr:cNvPr id="5134" name="AutoShape 14" descr="Venta · 30 Apr">
          <a:extLst>
            <a:ext uri="{FF2B5EF4-FFF2-40B4-BE49-F238E27FC236}">
              <a16:creationId xmlns:a16="http://schemas.microsoft.com/office/drawing/2014/main" id="{B123294E-C42B-3372-2B80-CC0BB53C6847}"/>
            </a:ext>
          </a:extLst>
        </xdr:cNvPr>
        <xdr:cNvSpPr>
          <a:spLocks noChangeAspect="1" noChangeArrowheads="1"/>
        </xdr:cNvSpPr>
      </xdr:nvSpPr>
      <xdr:spPr bwMode="auto">
        <a:xfrm>
          <a:off x="3057525" y="98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31</xdr:row>
      <xdr:rowOff>0</xdr:rowOff>
    </xdr:from>
    <xdr:to>
      <xdr:col>4</xdr:col>
      <xdr:colOff>9525</xdr:colOff>
      <xdr:row>32</xdr:row>
      <xdr:rowOff>123825</xdr:rowOff>
    </xdr:to>
    <xdr:sp macro="" textlink="">
      <xdr:nvSpPr>
        <xdr:cNvPr id="5136" name="AutoShape 16" descr="Venta · 16 Apr">
          <a:extLst>
            <a:ext uri="{FF2B5EF4-FFF2-40B4-BE49-F238E27FC236}">
              <a16:creationId xmlns:a16="http://schemas.microsoft.com/office/drawing/2014/main" id="{0FA0E485-DB22-157F-81A1-B6C4AFE85531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14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35</xdr:row>
      <xdr:rowOff>0</xdr:rowOff>
    </xdr:from>
    <xdr:to>
      <xdr:col>4</xdr:col>
      <xdr:colOff>9525</xdr:colOff>
      <xdr:row>36</xdr:row>
      <xdr:rowOff>123825</xdr:rowOff>
    </xdr:to>
    <xdr:sp macro="" textlink="">
      <xdr:nvSpPr>
        <xdr:cNvPr id="5138" name="AutoShape 18" descr="Venta · 10 Apr">
          <a:extLst>
            <a:ext uri="{FF2B5EF4-FFF2-40B4-BE49-F238E27FC236}">
              <a16:creationId xmlns:a16="http://schemas.microsoft.com/office/drawing/2014/main" id="{589EE1DA-9909-B6AC-9F0B-6BFF4E763EBF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25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40</xdr:row>
      <xdr:rowOff>0</xdr:rowOff>
    </xdr:from>
    <xdr:to>
      <xdr:col>4</xdr:col>
      <xdr:colOff>9525</xdr:colOff>
      <xdr:row>41</xdr:row>
      <xdr:rowOff>123825</xdr:rowOff>
    </xdr:to>
    <xdr:sp macro="" textlink="">
      <xdr:nvSpPr>
        <xdr:cNvPr id="5140" name="AutoShape 20" descr="Venta · 29 Mar">
          <a:extLst>
            <a:ext uri="{FF2B5EF4-FFF2-40B4-BE49-F238E27FC236}">
              <a16:creationId xmlns:a16="http://schemas.microsoft.com/office/drawing/2014/main" id="{0CFBC26D-8CBB-67C1-72E3-FC841EB271DC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44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44</xdr:row>
      <xdr:rowOff>0</xdr:rowOff>
    </xdr:from>
    <xdr:to>
      <xdr:col>4</xdr:col>
      <xdr:colOff>9525</xdr:colOff>
      <xdr:row>45</xdr:row>
      <xdr:rowOff>123825</xdr:rowOff>
    </xdr:to>
    <xdr:sp macro="" textlink="">
      <xdr:nvSpPr>
        <xdr:cNvPr id="5142" name="AutoShape 22" descr="Venta · 29 Mar">
          <a:extLst>
            <a:ext uri="{FF2B5EF4-FFF2-40B4-BE49-F238E27FC236}">
              <a16:creationId xmlns:a16="http://schemas.microsoft.com/office/drawing/2014/main" id="{2BDA3C89-9E3A-D5ED-7226-DEE863F10198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6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48</xdr:row>
      <xdr:rowOff>0</xdr:rowOff>
    </xdr:from>
    <xdr:to>
      <xdr:col>4</xdr:col>
      <xdr:colOff>9525</xdr:colOff>
      <xdr:row>49</xdr:row>
      <xdr:rowOff>123825</xdr:rowOff>
    </xdr:to>
    <xdr:sp macro="" textlink="">
      <xdr:nvSpPr>
        <xdr:cNvPr id="5144" name="AutoShape 24" descr="Venta · 17 Mar">
          <a:extLst>
            <a:ext uri="{FF2B5EF4-FFF2-40B4-BE49-F238E27FC236}">
              <a16:creationId xmlns:a16="http://schemas.microsoft.com/office/drawing/2014/main" id="{D449E59B-28E6-76BB-C095-7BC9D0A264E9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769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52</xdr:row>
      <xdr:rowOff>0</xdr:rowOff>
    </xdr:from>
    <xdr:to>
      <xdr:col>4</xdr:col>
      <xdr:colOff>9525</xdr:colOff>
      <xdr:row>53</xdr:row>
      <xdr:rowOff>123825</xdr:rowOff>
    </xdr:to>
    <xdr:sp macro="" textlink="">
      <xdr:nvSpPr>
        <xdr:cNvPr id="5146" name="AutoShape 26" descr="Venta · 7 Mar">
          <a:extLst>
            <a:ext uri="{FF2B5EF4-FFF2-40B4-BE49-F238E27FC236}">
              <a16:creationId xmlns:a16="http://schemas.microsoft.com/office/drawing/2014/main" id="{9CA79551-CA6B-F6C5-7DF5-5D8D302DF824}"/>
            </a:ext>
          </a:extLst>
        </xdr:cNvPr>
        <xdr:cNvSpPr>
          <a:spLocks noChangeAspect="1" noChangeArrowheads="1"/>
        </xdr:cNvSpPr>
      </xdr:nvSpPr>
      <xdr:spPr bwMode="auto">
        <a:xfrm>
          <a:off x="3057525" y="193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56</xdr:row>
      <xdr:rowOff>0</xdr:rowOff>
    </xdr:from>
    <xdr:to>
      <xdr:col>4</xdr:col>
      <xdr:colOff>9525</xdr:colOff>
      <xdr:row>57</xdr:row>
      <xdr:rowOff>123825</xdr:rowOff>
    </xdr:to>
    <xdr:sp macro="" textlink="">
      <xdr:nvSpPr>
        <xdr:cNvPr id="5148" name="AutoShape 28" descr="Venta · 5 Mar">
          <a:extLst>
            <a:ext uri="{FF2B5EF4-FFF2-40B4-BE49-F238E27FC236}">
              <a16:creationId xmlns:a16="http://schemas.microsoft.com/office/drawing/2014/main" id="{140AE3F4-5F47-2F2A-1874-7F9F08DAC224}"/>
            </a:ext>
          </a:extLst>
        </xdr:cNvPr>
        <xdr:cNvSpPr>
          <a:spLocks noChangeAspect="1" noChangeArrowheads="1"/>
        </xdr:cNvSpPr>
      </xdr:nvSpPr>
      <xdr:spPr bwMode="auto">
        <a:xfrm>
          <a:off x="3057525" y="207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61</xdr:row>
      <xdr:rowOff>0</xdr:rowOff>
    </xdr:from>
    <xdr:to>
      <xdr:col>4</xdr:col>
      <xdr:colOff>9525</xdr:colOff>
      <xdr:row>62</xdr:row>
      <xdr:rowOff>123825</xdr:rowOff>
    </xdr:to>
    <xdr:sp macro="" textlink="">
      <xdr:nvSpPr>
        <xdr:cNvPr id="5150" name="AutoShape 30" descr="Venta · 19 Feb">
          <a:extLst>
            <a:ext uri="{FF2B5EF4-FFF2-40B4-BE49-F238E27FC236}">
              <a16:creationId xmlns:a16="http://schemas.microsoft.com/office/drawing/2014/main" id="{42EFDEC7-E4F2-13C6-F4C0-D644BB5EEAD2}"/>
            </a:ext>
          </a:extLst>
        </xdr:cNvPr>
        <xdr:cNvSpPr>
          <a:spLocks noChangeAspect="1" noChangeArrowheads="1"/>
        </xdr:cNvSpPr>
      </xdr:nvSpPr>
      <xdr:spPr bwMode="auto">
        <a:xfrm>
          <a:off x="3057525" y="222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542925</xdr:colOff>
      <xdr:row>65</xdr:row>
      <xdr:rowOff>0</xdr:rowOff>
    </xdr:from>
    <xdr:to>
      <xdr:col>4</xdr:col>
      <xdr:colOff>9525</xdr:colOff>
      <xdr:row>66</xdr:row>
      <xdr:rowOff>123825</xdr:rowOff>
    </xdr:to>
    <xdr:sp macro="" textlink="">
      <xdr:nvSpPr>
        <xdr:cNvPr id="5152" name="AutoShape 32" descr="Venta · 11 Feb">
          <a:extLst>
            <a:ext uri="{FF2B5EF4-FFF2-40B4-BE49-F238E27FC236}">
              <a16:creationId xmlns:a16="http://schemas.microsoft.com/office/drawing/2014/main" id="{7839E9CF-CE81-8D8B-6AC3-2E18AB2FDCE5}"/>
            </a:ext>
          </a:extLst>
        </xdr:cNvPr>
        <xdr:cNvSpPr>
          <a:spLocks noChangeAspect="1" noChangeArrowheads="1"/>
        </xdr:cNvSpPr>
      </xdr:nvSpPr>
      <xdr:spPr bwMode="auto">
        <a:xfrm>
          <a:off x="3057525" y="2371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56"/>
  <sheetViews>
    <sheetView tabSelected="1" topLeftCell="E4" zoomScaleNormal="100" workbookViewId="0">
      <pane ySplit="1" topLeftCell="E6" activePane="bottomLeft" state="frozen"/>
      <selection pane="bottomLeft" activeCell="G18" sqref="G18"/>
      <selection activeCell="K10" sqref="K10"/>
    </sheetView>
  </sheetViews>
  <sheetFormatPr defaultColWidth="9" defaultRowHeight="15"/>
  <cols>
    <col min="1" max="1" width="15.375" style="1" customWidth="1"/>
    <col min="2" max="2" width="61" style="74" customWidth="1"/>
    <col min="3" max="4" width="19" style="1" customWidth="1"/>
    <col min="5" max="5" width="14.875" style="1" customWidth="1"/>
    <col min="6" max="6" width="11.75" style="1" customWidth="1"/>
    <col min="7" max="7" width="15.625" style="1" customWidth="1"/>
    <col min="8" max="8" width="17.375" style="1" customWidth="1"/>
    <col min="9" max="9" width="17.125" style="1" customWidth="1"/>
    <col min="10" max="10" width="15.75" style="1" customWidth="1"/>
    <col min="11" max="14" width="12.125" style="1" customWidth="1"/>
    <col min="15" max="16" width="14.5" style="1" customWidth="1"/>
    <col min="17" max="17" width="36.125" style="1" customWidth="1"/>
    <col min="18" max="18" width="6.375" style="1" customWidth="1"/>
    <col min="19" max="19" width="35.875" style="1" customWidth="1"/>
    <col min="20" max="20" width="10.875" style="1" customWidth="1"/>
    <col min="21" max="21" width="9" style="1"/>
    <col min="22" max="22" width="32.375" style="1" bestFit="1" customWidth="1"/>
    <col min="23" max="23" width="18.125" style="1" bestFit="1" customWidth="1"/>
    <col min="24" max="16384" width="9" style="1"/>
  </cols>
  <sheetData>
    <row r="1" spans="1:70" ht="30" customHeight="1">
      <c r="B1" s="84" t="s">
        <v>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70" ht="30" customHeight="1">
      <c r="B2" s="85" t="s">
        <v>1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</row>
    <row r="3" spans="1:70">
      <c r="B3" s="1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70" ht="38.1" customHeight="1">
      <c r="A4" s="36" t="s">
        <v>2</v>
      </c>
      <c r="B4" s="37" t="s">
        <v>3</v>
      </c>
      <c r="C4" s="61" t="s">
        <v>4</v>
      </c>
      <c r="D4" s="61" t="s">
        <v>5</v>
      </c>
      <c r="E4" s="61" t="s">
        <v>6</v>
      </c>
      <c r="F4" s="61" t="s">
        <v>7</v>
      </c>
      <c r="G4" s="61" t="s">
        <v>8</v>
      </c>
      <c r="H4" s="61" t="s">
        <v>9</v>
      </c>
      <c r="I4" s="61" t="s">
        <v>10</v>
      </c>
      <c r="J4" s="61" t="s">
        <v>11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16</v>
      </c>
      <c r="P4" s="61" t="s">
        <v>17</v>
      </c>
      <c r="Q4" s="61" t="s">
        <v>18</v>
      </c>
    </row>
    <row r="5" spans="1:70" ht="30" customHeight="1">
      <c r="A5" s="36" t="s">
        <v>19</v>
      </c>
      <c r="B5" s="70" t="s">
        <v>20</v>
      </c>
      <c r="C5" s="38">
        <v>2.5</v>
      </c>
      <c r="D5" s="38">
        <f t="shared" ref="D5:D39" si="0">F5*C5</f>
        <v>2.5</v>
      </c>
      <c r="E5" s="39">
        <v>2.5</v>
      </c>
      <c r="F5" s="40">
        <v>1</v>
      </c>
      <c r="G5" s="38">
        <f t="shared" ref="G5:G39" si="1">IFERROR(E5/F5,"")</f>
        <v>2.5</v>
      </c>
      <c r="H5" s="38">
        <f t="shared" ref="H5:H39" si="2">C5-G5</f>
        <v>0</v>
      </c>
      <c r="I5" s="41">
        <f t="shared" ref="I5:I39" si="3">(C5-G5)/C5</f>
        <v>0</v>
      </c>
      <c r="J5" s="38">
        <f t="shared" ref="J5:J39" si="4">D5-E5</f>
        <v>0</v>
      </c>
      <c r="K5" s="42">
        <v>0</v>
      </c>
      <c r="L5" s="43">
        <f t="shared" ref="L5:L39" si="5">C5*K5</f>
        <v>0</v>
      </c>
      <c r="M5" s="43">
        <f t="shared" ref="M5:M39" si="6">K5*G5</f>
        <v>0</v>
      </c>
      <c r="N5" s="43">
        <f t="shared" ref="N5:N39" si="7">H5*K5</f>
        <v>0</v>
      </c>
      <c r="O5" s="63">
        <f t="shared" ref="O5:O39" si="8">K5/F5</f>
        <v>0</v>
      </c>
      <c r="P5" s="63">
        <f t="shared" ref="P5:P39" si="9">(C5/G5)-1</f>
        <v>0</v>
      </c>
      <c r="Q5" s="42"/>
      <c r="S5" s="7">
        <f>SUM(J5:J18)</f>
        <v>445.82</v>
      </c>
    </row>
    <row r="6" spans="1:70" s="2" customFormat="1" ht="30" customHeight="1">
      <c r="A6" s="64" t="s">
        <v>21</v>
      </c>
      <c r="B6" s="71" t="s">
        <v>22</v>
      </c>
      <c r="C6" s="44">
        <v>1.7</v>
      </c>
      <c r="D6" s="44">
        <f t="shared" si="0"/>
        <v>8.5</v>
      </c>
      <c r="E6" s="44">
        <v>7.58</v>
      </c>
      <c r="F6" s="45">
        <v>5</v>
      </c>
      <c r="G6" s="44">
        <f t="shared" si="1"/>
        <v>1.516</v>
      </c>
      <c r="H6" s="44">
        <f t="shared" si="2"/>
        <v>0.18399999999999994</v>
      </c>
      <c r="I6" s="46">
        <f t="shared" si="3"/>
        <v>0.10823529411764703</v>
      </c>
      <c r="J6" s="44">
        <f t="shared" si="4"/>
        <v>0.91999999999999993</v>
      </c>
      <c r="K6" s="47">
        <v>0</v>
      </c>
      <c r="L6" s="48">
        <f t="shared" si="5"/>
        <v>0</v>
      </c>
      <c r="M6" s="48">
        <f t="shared" si="6"/>
        <v>0</v>
      </c>
      <c r="N6" s="48">
        <f t="shared" si="7"/>
        <v>0</v>
      </c>
      <c r="O6" s="65">
        <f t="shared" si="8"/>
        <v>0</v>
      </c>
      <c r="P6" s="63">
        <f t="shared" si="9"/>
        <v>0.12137203166226906</v>
      </c>
      <c r="Q6" s="47"/>
      <c r="R6" s="1"/>
      <c r="S6" s="9" t="s">
        <v>23</v>
      </c>
      <c r="T6" s="9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spans="1:70" s="2" customFormat="1" ht="30" customHeight="1">
      <c r="A7" s="64" t="s">
        <v>21</v>
      </c>
      <c r="B7" s="71" t="s">
        <v>24</v>
      </c>
      <c r="C7" s="44">
        <v>7</v>
      </c>
      <c r="D7" s="44">
        <f t="shared" si="0"/>
        <v>7</v>
      </c>
      <c r="E7" s="44">
        <v>6.76</v>
      </c>
      <c r="F7" s="45">
        <v>1</v>
      </c>
      <c r="G7" s="44">
        <f t="shared" si="1"/>
        <v>6.76</v>
      </c>
      <c r="H7" s="44">
        <f t="shared" si="2"/>
        <v>0.24000000000000021</v>
      </c>
      <c r="I7" s="46">
        <f t="shared" si="3"/>
        <v>3.4285714285714315E-2</v>
      </c>
      <c r="J7" s="44">
        <f t="shared" si="4"/>
        <v>0.24000000000000021</v>
      </c>
      <c r="K7" s="47">
        <v>0</v>
      </c>
      <c r="L7" s="48">
        <f t="shared" si="5"/>
        <v>0</v>
      </c>
      <c r="M7" s="48">
        <f t="shared" si="6"/>
        <v>0</v>
      </c>
      <c r="N7" s="48">
        <f t="shared" si="7"/>
        <v>0</v>
      </c>
      <c r="O7" s="65">
        <f t="shared" si="8"/>
        <v>0</v>
      </c>
      <c r="P7" s="63">
        <f t="shared" si="9"/>
        <v>3.5502958579881616E-2</v>
      </c>
      <c r="Q7" s="47"/>
      <c r="R7" s="1"/>
      <c r="S7" s="9"/>
      <c r="T7" s="9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spans="1:70" s="2" customFormat="1" ht="30" customHeight="1">
      <c r="A8" s="64"/>
      <c r="B8" s="70"/>
      <c r="C8" s="38"/>
      <c r="D8" s="38"/>
      <c r="E8" s="39"/>
      <c r="F8" s="40"/>
      <c r="G8" s="38"/>
      <c r="H8" s="38"/>
      <c r="I8" s="41"/>
      <c r="J8" s="38"/>
      <c r="K8" s="42"/>
      <c r="L8" s="43"/>
      <c r="M8" s="43"/>
      <c r="N8" s="43"/>
      <c r="O8" s="63"/>
      <c r="P8" s="63"/>
      <c r="Q8" s="42"/>
      <c r="R8" s="1"/>
      <c r="S8" s="10"/>
      <c r="T8" s="1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spans="1:70" s="2" customFormat="1" ht="30" customHeight="1">
      <c r="A9" s="36" t="s">
        <v>21</v>
      </c>
      <c r="B9" s="70" t="s">
        <v>25</v>
      </c>
      <c r="C9" s="38">
        <v>70</v>
      </c>
      <c r="D9" s="38">
        <f t="shared" si="0"/>
        <v>70</v>
      </c>
      <c r="E9" s="39">
        <v>44.52</v>
      </c>
      <c r="F9" s="40">
        <v>1</v>
      </c>
      <c r="G9" s="38">
        <f t="shared" si="1"/>
        <v>44.52</v>
      </c>
      <c r="H9" s="38">
        <f t="shared" si="2"/>
        <v>25.479999999999997</v>
      </c>
      <c r="I9" s="41">
        <f t="shared" si="3"/>
        <v>0.36399999999999993</v>
      </c>
      <c r="J9" s="38">
        <f t="shared" si="4"/>
        <v>25.479999999999997</v>
      </c>
      <c r="K9" s="42">
        <v>0</v>
      </c>
      <c r="L9" s="43">
        <f t="shared" si="5"/>
        <v>0</v>
      </c>
      <c r="M9" s="43">
        <f t="shared" si="6"/>
        <v>0</v>
      </c>
      <c r="N9" s="43">
        <f t="shared" si="7"/>
        <v>0</v>
      </c>
      <c r="O9" s="63">
        <f t="shared" si="8"/>
        <v>0</v>
      </c>
      <c r="P9" s="63">
        <f t="shared" si="9"/>
        <v>0.57232704402515711</v>
      </c>
      <c r="Q9" s="42"/>
      <c r="R9" s="1"/>
      <c r="S9" s="10"/>
      <c r="T9" s="1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spans="1:70" s="3" customFormat="1" ht="30" customHeight="1">
      <c r="A10" s="66" t="s">
        <v>21</v>
      </c>
      <c r="B10" s="72" t="s">
        <v>26</v>
      </c>
      <c r="C10" s="49">
        <v>130</v>
      </c>
      <c r="D10" s="49">
        <f t="shared" si="0"/>
        <v>260</v>
      </c>
      <c r="E10" s="49">
        <f>35.35+143.41</f>
        <v>178.76</v>
      </c>
      <c r="F10" s="50">
        <v>2</v>
      </c>
      <c r="G10" s="49">
        <f t="shared" si="1"/>
        <v>89.38</v>
      </c>
      <c r="H10" s="49">
        <f t="shared" si="2"/>
        <v>40.620000000000005</v>
      </c>
      <c r="I10" s="51">
        <f t="shared" si="3"/>
        <v>0.31246153846153851</v>
      </c>
      <c r="J10" s="49">
        <f t="shared" si="4"/>
        <v>81.240000000000009</v>
      </c>
      <c r="K10" s="52">
        <v>0</v>
      </c>
      <c r="L10" s="53">
        <f t="shared" si="5"/>
        <v>0</v>
      </c>
      <c r="M10" s="53">
        <f t="shared" si="6"/>
        <v>0</v>
      </c>
      <c r="N10" s="53">
        <f t="shared" si="7"/>
        <v>0</v>
      </c>
      <c r="O10" s="69">
        <f t="shared" si="8"/>
        <v>0</v>
      </c>
      <c r="P10" s="63">
        <f t="shared" si="9"/>
        <v>0.45446408592526311</v>
      </c>
      <c r="Q10" s="52"/>
      <c r="R10" s="1"/>
      <c r="S10" s="1"/>
      <c r="T10" s="7"/>
      <c r="U10" s="1"/>
      <c r="V10" s="12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spans="1:70" s="2" customFormat="1" ht="30" customHeight="1">
      <c r="A11" s="67" t="s">
        <v>19</v>
      </c>
      <c r="B11" s="71" t="s">
        <v>27</v>
      </c>
      <c r="C11" s="44">
        <v>30</v>
      </c>
      <c r="D11" s="44">
        <f t="shared" si="0"/>
        <v>90</v>
      </c>
      <c r="E11" s="44">
        <f>78-19.5</f>
        <v>58.5</v>
      </c>
      <c r="F11" s="45">
        <v>3</v>
      </c>
      <c r="G11" s="44">
        <f t="shared" si="1"/>
        <v>19.5</v>
      </c>
      <c r="H11" s="44">
        <f t="shared" si="2"/>
        <v>10.5</v>
      </c>
      <c r="I11" s="46">
        <f t="shared" si="3"/>
        <v>0.35</v>
      </c>
      <c r="J11" s="44">
        <f t="shared" si="4"/>
        <v>31.5</v>
      </c>
      <c r="K11" s="47">
        <v>0</v>
      </c>
      <c r="L11" s="48">
        <f t="shared" si="5"/>
        <v>0</v>
      </c>
      <c r="M11" s="48">
        <f t="shared" si="6"/>
        <v>0</v>
      </c>
      <c r="N11" s="48">
        <f t="shared" si="7"/>
        <v>0</v>
      </c>
      <c r="O11" s="65">
        <f t="shared" si="8"/>
        <v>0</v>
      </c>
      <c r="P11" s="63">
        <f t="shared" si="9"/>
        <v>0.53846153846153855</v>
      </c>
      <c r="Q11" s="47"/>
      <c r="R11" s="1"/>
      <c r="S11" s="1"/>
      <c r="T11" s="1"/>
      <c r="U11" s="1"/>
      <c r="V11" s="12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spans="1:70" s="2" customFormat="1" ht="30" customHeight="1">
      <c r="A12" s="64" t="s">
        <v>19</v>
      </c>
      <c r="B12" s="71" t="s">
        <v>28</v>
      </c>
      <c r="C12" s="44">
        <v>30</v>
      </c>
      <c r="D12" s="44">
        <f t="shared" si="0"/>
        <v>240</v>
      </c>
      <c r="E12" s="44">
        <v>205.76</v>
      </c>
      <c r="F12" s="45">
        <v>8</v>
      </c>
      <c r="G12" s="44">
        <f t="shared" si="1"/>
        <v>25.72</v>
      </c>
      <c r="H12" s="44">
        <f t="shared" si="2"/>
        <v>4.2800000000000011</v>
      </c>
      <c r="I12" s="46">
        <f t="shared" si="3"/>
        <v>0.14266666666666669</v>
      </c>
      <c r="J12" s="44">
        <f t="shared" si="4"/>
        <v>34.240000000000009</v>
      </c>
      <c r="K12" s="47">
        <v>0</v>
      </c>
      <c r="L12" s="48">
        <f t="shared" si="5"/>
        <v>0</v>
      </c>
      <c r="M12" s="48">
        <f t="shared" si="6"/>
        <v>0</v>
      </c>
      <c r="N12" s="48">
        <f t="shared" si="7"/>
        <v>0</v>
      </c>
      <c r="O12" s="65">
        <f t="shared" si="8"/>
        <v>0</v>
      </c>
      <c r="P12" s="63">
        <f t="shared" si="9"/>
        <v>0.16640746500777603</v>
      </c>
      <c r="Q12" s="47"/>
      <c r="R12" s="1"/>
      <c r="S12" s="1"/>
      <c r="T12" s="1"/>
      <c r="U12" s="1"/>
      <c r="V12" s="12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spans="1:70" s="2" customFormat="1" ht="30" customHeight="1">
      <c r="A13" s="64" t="s">
        <v>21</v>
      </c>
      <c r="B13" s="72" t="s">
        <v>29</v>
      </c>
      <c r="C13" s="49">
        <v>20</v>
      </c>
      <c r="D13" s="49">
        <f t="shared" si="0"/>
        <v>140</v>
      </c>
      <c r="E13" s="49">
        <f>76.22-76.2199999999999</f>
        <v>0</v>
      </c>
      <c r="F13" s="50">
        <v>7</v>
      </c>
      <c r="G13" s="49">
        <f t="shared" si="1"/>
        <v>0</v>
      </c>
      <c r="H13" s="49">
        <f t="shared" si="2"/>
        <v>20</v>
      </c>
      <c r="I13" s="51">
        <f t="shared" si="3"/>
        <v>1</v>
      </c>
      <c r="J13" s="49">
        <f t="shared" si="4"/>
        <v>140</v>
      </c>
      <c r="K13" s="52">
        <v>1</v>
      </c>
      <c r="L13" s="53">
        <f t="shared" si="5"/>
        <v>20</v>
      </c>
      <c r="M13" s="53">
        <f t="shared" si="6"/>
        <v>0</v>
      </c>
      <c r="N13" s="53">
        <f t="shared" si="7"/>
        <v>20</v>
      </c>
      <c r="O13" s="69">
        <f t="shared" si="8"/>
        <v>0.14285714285714285</v>
      </c>
      <c r="P13" s="63" t="e">
        <f t="shared" si="9"/>
        <v>#DIV/0!</v>
      </c>
      <c r="Q13" s="52"/>
      <c r="R13" s="1"/>
      <c r="S13" s="1"/>
      <c r="T13" s="1"/>
      <c r="U13" s="1"/>
      <c r="V13" s="12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spans="1:70" s="2" customFormat="1" ht="30" customHeight="1">
      <c r="A14" s="64" t="s">
        <v>21</v>
      </c>
      <c r="B14" s="72" t="s">
        <v>30</v>
      </c>
      <c r="C14" s="49">
        <v>16.95</v>
      </c>
      <c r="D14" s="49">
        <f t="shared" si="0"/>
        <v>118.64999999999999</v>
      </c>
      <c r="E14" s="49">
        <v>80.72</v>
      </c>
      <c r="F14" s="50">
        <v>7</v>
      </c>
      <c r="G14" s="49">
        <f t="shared" si="1"/>
        <v>11.531428571428572</v>
      </c>
      <c r="H14" s="49">
        <f t="shared" si="2"/>
        <v>5.4185714285714273</v>
      </c>
      <c r="I14" s="51">
        <f t="shared" si="3"/>
        <v>0.31967973029919927</v>
      </c>
      <c r="J14" s="49">
        <f t="shared" si="4"/>
        <v>37.929999999999993</v>
      </c>
      <c r="K14" s="52">
        <v>0</v>
      </c>
      <c r="L14" s="53">
        <f t="shared" si="5"/>
        <v>0</v>
      </c>
      <c r="M14" s="53">
        <f t="shared" si="6"/>
        <v>0</v>
      </c>
      <c r="N14" s="53">
        <f t="shared" si="7"/>
        <v>0</v>
      </c>
      <c r="O14" s="69">
        <f t="shared" si="8"/>
        <v>0</v>
      </c>
      <c r="P14" s="63">
        <f t="shared" si="9"/>
        <v>0.46989593657086215</v>
      </c>
      <c r="Q14" s="52"/>
      <c r="R14" s="1"/>
      <c r="S14" s="1"/>
      <c r="T14" s="1"/>
      <c r="U14" s="1"/>
      <c r="V14" s="12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spans="1:70" s="2" customFormat="1" ht="30" customHeight="1">
      <c r="A15" s="64" t="s">
        <v>12</v>
      </c>
      <c r="B15" s="71" t="s">
        <v>31</v>
      </c>
      <c r="C15" s="44">
        <v>25</v>
      </c>
      <c r="D15" s="44">
        <f t="shared" si="0"/>
        <v>100</v>
      </c>
      <c r="E15" s="44">
        <f>60.32+51.9-11.22-11.22-11.22-11.22-11.22-11.22</f>
        <v>44.900000000000006</v>
      </c>
      <c r="F15" s="45">
        <v>4</v>
      </c>
      <c r="G15" s="44">
        <f t="shared" si="1"/>
        <v>11.225000000000001</v>
      </c>
      <c r="H15" s="44">
        <f t="shared" si="2"/>
        <v>13.774999999999999</v>
      </c>
      <c r="I15" s="46">
        <f t="shared" si="3"/>
        <v>0.55099999999999993</v>
      </c>
      <c r="J15" s="44">
        <f t="shared" si="4"/>
        <v>55.099999999999994</v>
      </c>
      <c r="K15" s="47">
        <v>4</v>
      </c>
      <c r="L15" s="48">
        <f t="shared" si="5"/>
        <v>100</v>
      </c>
      <c r="M15" s="48">
        <f t="shared" si="6"/>
        <v>44.900000000000006</v>
      </c>
      <c r="N15" s="48">
        <f t="shared" si="7"/>
        <v>55.099999999999994</v>
      </c>
      <c r="O15" s="65">
        <f t="shared" si="8"/>
        <v>1</v>
      </c>
      <c r="P15" s="63">
        <f t="shared" si="9"/>
        <v>1.2271714922048993</v>
      </c>
      <c r="Q15" s="47"/>
      <c r="R15" s="1"/>
      <c r="S15" s="1"/>
      <c r="T15" s="1"/>
      <c r="U15" s="1"/>
      <c r="V15" s="12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spans="1:70" s="2" customFormat="1" ht="30" customHeight="1">
      <c r="A16" s="64" t="s">
        <v>21</v>
      </c>
      <c r="B16" s="71" t="s">
        <v>32</v>
      </c>
      <c r="C16" s="44">
        <v>16.95</v>
      </c>
      <c r="D16" s="44">
        <f t="shared" si="0"/>
        <v>67.8</v>
      </c>
      <c r="E16" s="44">
        <f>56.17-11.23</f>
        <v>44.94</v>
      </c>
      <c r="F16" s="45">
        <v>4</v>
      </c>
      <c r="G16" s="44">
        <f t="shared" si="1"/>
        <v>11.234999999999999</v>
      </c>
      <c r="H16" s="44">
        <f t="shared" si="2"/>
        <v>5.7149999999999999</v>
      </c>
      <c r="I16" s="46">
        <f t="shared" si="3"/>
        <v>0.33716814159292036</v>
      </c>
      <c r="J16" s="44">
        <f t="shared" si="4"/>
        <v>22.86</v>
      </c>
      <c r="K16" s="47">
        <v>3</v>
      </c>
      <c r="L16" s="48">
        <f t="shared" si="5"/>
        <v>50.849999999999994</v>
      </c>
      <c r="M16" s="48">
        <f t="shared" si="6"/>
        <v>33.704999999999998</v>
      </c>
      <c r="N16" s="48">
        <f t="shared" si="7"/>
        <v>17.145</v>
      </c>
      <c r="O16" s="65">
        <f t="shared" si="8"/>
        <v>0.75</v>
      </c>
      <c r="P16" s="63">
        <f t="shared" si="9"/>
        <v>0.50867823765020037</v>
      </c>
      <c r="Q16" s="47" t="s">
        <v>33</v>
      </c>
      <c r="R16" s="1"/>
      <c r="S16" s="1"/>
      <c r="T16" s="1"/>
      <c r="U16" s="1"/>
      <c r="V16" s="12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spans="1:70" s="2" customFormat="1" ht="30" customHeight="1">
      <c r="A17" s="36" t="s">
        <v>21</v>
      </c>
      <c r="B17" s="72" t="s">
        <v>34</v>
      </c>
      <c r="C17" s="67">
        <v>4</v>
      </c>
      <c r="D17" s="67">
        <f t="shared" si="0"/>
        <v>16</v>
      </c>
      <c r="E17" s="67">
        <v>3.39</v>
      </c>
      <c r="F17" s="67">
        <v>4</v>
      </c>
      <c r="G17" s="67">
        <f t="shared" si="1"/>
        <v>0.84750000000000003</v>
      </c>
      <c r="H17" s="67">
        <f t="shared" si="2"/>
        <v>3.1524999999999999</v>
      </c>
      <c r="I17" s="46">
        <f t="shared" si="3"/>
        <v>0.78812499999999996</v>
      </c>
      <c r="J17" s="67">
        <f t="shared" si="4"/>
        <v>12.61</v>
      </c>
      <c r="K17" s="67">
        <v>2</v>
      </c>
      <c r="L17" s="67">
        <f t="shared" si="5"/>
        <v>8</v>
      </c>
      <c r="M17" s="67">
        <f t="shared" si="6"/>
        <v>1.6950000000000001</v>
      </c>
      <c r="N17" s="67">
        <f t="shared" si="7"/>
        <v>6.3049999999999997</v>
      </c>
      <c r="O17" s="65">
        <f t="shared" si="8"/>
        <v>0.5</v>
      </c>
      <c r="P17" s="63">
        <f t="shared" si="9"/>
        <v>3.71976401179941</v>
      </c>
      <c r="Q17" s="67" t="s">
        <v>35</v>
      </c>
      <c r="R17" s="1"/>
      <c r="S17" s="13" t="s">
        <v>36</v>
      </c>
      <c r="T17" s="14">
        <f>SUM($E$5:$E$209)</f>
        <v>1450.4050000000004</v>
      </c>
      <c r="U17" s="1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spans="1:70" s="2" customFormat="1" ht="30" customHeight="1">
      <c r="A18" s="64" t="s">
        <v>21</v>
      </c>
      <c r="B18" s="71" t="s">
        <v>37</v>
      </c>
      <c r="C18" s="44">
        <v>2.5</v>
      </c>
      <c r="D18" s="44">
        <f t="shared" si="0"/>
        <v>7.5</v>
      </c>
      <c r="E18" s="44">
        <f>7.58-1.26-1.26-1.26</f>
        <v>3.8000000000000007</v>
      </c>
      <c r="F18" s="45">
        <v>3</v>
      </c>
      <c r="G18" s="44">
        <f t="shared" si="1"/>
        <v>1.2666666666666668</v>
      </c>
      <c r="H18" s="44">
        <f t="shared" si="2"/>
        <v>1.2333333333333332</v>
      </c>
      <c r="I18" s="46">
        <f t="shared" si="3"/>
        <v>0.49333333333333329</v>
      </c>
      <c r="J18" s="44">
        <f t="shared" si="4"/>
        <v>3.6999999999999993</v>
      </c>
      <c r="K18" s="47">
        <v>2</v>
      </c>
      <c r="L18" s="48">
        <f t="shared" si="5"/>
        <v>5</v>
      </c>
      <c r="M18" s="48">
        <f t="shared" si="6"/>
        <v>2.5333333333333337</v>
      </c>
      <c r="N18" s="48">
        <f t="shared" si="7"/>
        <v>2.4666666666666663</v>
      </c>
      <c r="O18" s="65">
        <f t="shared" si="8"/>
        <v>0.66666666666666663</v>
      </c>
      <c r="P18" s="63">
        <f t="shared" si="9"/>
        <v>0.97368421052631549</v>
      </c>
      <c r="Q18" s="47"/>
      <c r="R18" s="1"/>
      <c r="S18" s="13" t="s">
        <v>38</v>
      </c>
      <c r="T18" s="14">
        <f>SUM($D$5:D208)</f>
        <v>2208.3999999999996</v>
      </c>
      <c r="U18" s="1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spans="1:70" s="4" customFormat="1" ht="30" customHeight="1">
      <c r="A19" s="67" t="s">
        <v>21</v>
      </c>
      <c r="B19" s="70" t="s">
        <v>39</v>
      </c>
      <c r="C19" s="38">
        <v>50</v>
      </c>
      <c r="D19" s="38">
        <f t="shared" si="0"/>
        <v>150</v>
      </c>
      <c r="E19" s="39">
        <f>(29.91*2+15.35)</f>
        <v>75.17</v>
      </c>
      <c r="F19" s="40">
        <v>3</v>
      </c>
      <c r="G19" s="38">
        <f t="shared" si="1"/>
        <v>25.056666666666668</v>
      </c>
      <c r="H19" s="38">
        <f t="shared" si="2"/>
        <v>24.943333333333332</v>
      </c>
      <c r="I19" s="41">
        <f t="shared" si="3"/>
        <v>0.49886666666666662</v>
      </c>
      <c r="J19" s="38">
        <f t="shared" si="4"/>
        <v>74.83</v>
      </c>
      <c r="K19" s="42">
        <v>1</v>
      </c>
      <c r="L19" s="43">
        <f t="shared" si="5"/>
        <v>50</v>
      </c>
      <c r="M19" s="43">
        <f t="shared" si="6"/>
        <v>25.056666666666668</v>
      </c>
      <c r="N19" s="43">
        <f t="shared" si="7"/>
        <v>24.943333333333332</v>
      </c>
      <c r="O19" s="63">
        <f t="shared" si="8"/>
        <v>0.33333333333333331</v>
      </c>
      <c r="P19" s="63">
        <f t="shared" si="9"/>
        <v>0.99547691898363699</v>
      </c>
      <c r="Q19" s="42" t="s">
        <v>40</v>
      </c>
      <c r="R19" s="1"/>
      <c r="S19" s="13" t="s">
        <v>41</v>
      </c>
      <c r="T19" s="14">
        <f>SUM($J$5:$J$210)</f>
        <v>757.99499999999978</v>
      </c>
      <c r="U19" s="1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spans="1:70" s="4" customFormat="1" ht="30" customHeight="1">
      <c r="A20" s="67" t="s">
        <v>12</v>
      </c>
      <c r="B20" s="71" t="s">
        <v>42</v>
      </c>
      <c r="C20" s="44">
        <v>15</v>
      </c>
      <c r="D20" s="44">
        <f t="shared" ref="D20" si="10">F20*C20</f>
        <v>15</v>
      </c>
      <c r="E20" s="44">
        <f>11.22</f>
        <v>11.22</v>
      </c>
      <c r="F20" s="45">
        <v>1</v>
      </c>
      <c r="G20" s="44">
        <f t="shared" ref="G20" si="11">IFERROR(E20/F20,"")</f>
        <v>11.22</v>
      </c>
      <c r="H20" s="44">
        <f t="shared" ref="H20" si="12">C20-G20</f>
        <v>3.7799999999999994</v>
      </c>
      <c r="I20" s="46">
        <f t="shared" ref="I20" si="13">(C20-G20)/C20</f>
        <v>0.25199999999999995</v>
      </c>
      <c r="J20" s="44">
        <f t="shared" ref="J20" si="14">D20-E20</f>
        <v>3.7799999999999994</v>
      </c>
      <c r="K20" s="47">
        <v>1</v>
      </c>
      <c r="L20" s="48">
        <f t="shared" ref="L20" si="15">C20*K20</f>
        <v>15</v>
      </c>
      <c r="M20" s="48">
        <f t="shared" ref="M20" si="16">K20*G20</f>
        <v>11.22</v>
      </c>
      <c r="N20" s="48">
        <f t="shared" ref="N20" si="17">H20*K20</f>
        <v>3.7799999999999994</v>
      </c>
      <c r="O20" s="65">
        <f t="shared" ref="O20" si="18">K20/F20</f>
        <v>1</v>
      </c>
      <c r="P20" s="63">
        <f t="shared" ref="P20" si="19">(C20/G20)-1</f>
        <v>0.33689839572192515</v>
      </c>
      <c r="Q20" s="47" t="s">
        <v>43</v>
      </c>
      <c r="R20" s="1"/>
      <c r="S20" s="13"/>
      <c r="T20" s="14"/>
      <c r="U20" s="1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spans="1:70" s="4" customFormat="1" ht="30" customHeight="1">
      <c r="A21" s="67" t="s">
        <v>12</v>
      </c>
      <c r="B21" s="71" t="s">
        <v>42</v>
      </c>
      <c r="C21" s="44">
        <v>20</v>
      </c>
      <c r="D21" s="44">
        <f t="shared" si="0"/>
        <v>20</v>
      </c>
      <c r="E21" s="44">
        <f>11.22</f>
        <v>11.22</v>
      </c>
      <c r="F21" s="45">
        <v>1</v>
      </c>
      <c r="G21" s="44">
        <f t="shared" si="1"/>
        <v>11.22</v>
      </c>
      <c r="H21" s="44">
        <f t="shared" si="2"/>
        <v>8.7799999999999994</v>
      </c>
      <c r="I21" s="46">
        <f t="shared" si="3"/>
        <v>0.43899999999999995</v>
      </c>
      <c r="J21" s="44">
        <f t="shared" si="4"/>
        <v>8.7799999999999994</v>
      </c>
      <c r="K21" s="47">
        <v>1</v>
      </c>
      <c r="L21" s="48">
        <f t="shared" si="5"/>
        <v>20</v>
      </c>
      <c r="M21" s="48">
        <f t="shared" si="6"/>
        <v>11.22</v>
      </c>
      <c r="N21" s="48">
        <f t="shared" si="7"/>
        <v>8.7799999999999994</v>
      </c>
      <c r="O21" s="65">
        <f t="shared" si="8"/>
        <v>1</v>
      </c>
      <c r="P21" s="63">
        <f t="shared" si="9"/>
        <v>0.78253119429590012</v>
      </c>
      <c r="Q21" s="47" t="s">
        <v>44</v>
      </c>
      <c r="R21" s="1"/>
      <c r="S21" s="13"/>
      <c r="T21" s="14"/>
      <c r="U21" s="15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spans="1:70" s="4" customFormat="1" ht="30" customHeight="1">
      <c r="A22" s="67" t="s">
        <v>12</v>
      </c>
      <c r="B22" s="71" t="s">
        <v>45</v>
      </c>
      <c r="C22" s="44">
        <v>76.95</v>
      </c>
      <c r="D22" s="44">
        <f t="shared" si="0"/>
        <v>76.95</v>
      </c>
      <c r="E22" s="44">
        <f>11.23+19.5+11.22+1.27</f>
        <v>43.220000000000006</v>
      </c>
      <c r="F22" s="45">
        <v>1</v>
      </c>
      <c r="G22" s="44">
        <f t="shared" si="1"/>
        <v>43.220000000000006</v>
      </c>
      <c r="H22" s="44">
        <f t="shared" si="2"/>
        <v>33.729999999999997</v>
      </c>
      <c r="I22" s="46">
        <f t="shared" si="3"/>
        <v>0.43833658219623128</v>
      </c>
      <c r="J22" s="44">
        <f t="shared" si="4"/>
        <v>33.729999999999997</v>
      </c>
      <c r="K22" s="47">
        <v>1</v>
      </c>
      <c r="L22" s="48">
        <f t="shared" si="5"/>
        <v>76.95</v>
      </c>
      <c r="M22" s="48">
        <f t="shared" si="6"/>
        <v>43.220000000000006</v>
      </c>
      <c r="N22" s="48">
        <f t="shared" si="7"/>
        <v>33.729999999999997</v>
      </c>
      <c r="O22" s="65">
        <f t="shared" si="8"/>
        <v>1</v>
      </c>
      <c r="P22" s="63">
        <f t="shared" si="9"/>
        <v>0.78042572882924555</v>
      </c>
      <c r="Q22" s="47"/>
      <c r="R22" s="1"/>
      <c r="S22" s="13" t="s">
        <v>46</v>
      </c>
      <c r="T22" s="16">
        <f>(T18-T17)/T17</f>
        <v>0.5226092022572999</v>
      </c>
      <c r="U22" s="1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spans="1:70" s="4" customFormat="1" ht="30" customHeight="1">
      <c r="A23" s="67" t="s">
        <v>12</v>
      </c>
      <c r="B23" s="71" t="s">
        <v>47</v>
      </c>
      <c r="C23" s="44">
        <v>50</v>
      </c>
      <c r="D23" s="44">
        <f t="shared" si="0"/>
        <v>50</v>
      </c>
      <c r="E23" s="44">
        <f>11.22+1.26+11.23</f>
        <v>23.71</v>
      </c>
      <c r="F23" s="45">
        <v>1</v>
      </c>
      <c r="G23" s="44">
        <f t="shared" si="1"/>
        <v>23.71</v>
      </c>
      <c r="H23" s="44">
        <f t="shared" si="2"/>
        <v>26.29</v>
      </c>
      <c r="I23" s="46">
        <f t="shared" si="3"/>
        <v>0.52579999999999993</v>
      </c>
      <c r="J23" s="44">
        <f t="shared" si="4"/>
        <v>26.29</v>
      </c>
      <c r="K23" s="47">
        <v>1</v>
      </c>
      <c r="L23" s="48">
        <f t="shared" si="5"/>
        <v>50</v>
      </c>
      <c r="M23" s="48">
        <f t="shared" si="6"/>
        <v>23.71</v>
      </c>
      <c r="N23" s="48">
        <f t="shared" si="7"/>
        <v>26.29</v>
      </c>
      <c r="O23" s="65">
        <f t="shared" si="8"/>
        <v>1</v>
      </c>
      <c r="P23" s="63">
        <f t="shared" si="9"/>
        <v>1.1088148460565161</v>
      </c>
      <c r="Q23" s="47"/>
      <c r="R23" s="1" t="s">
        <v>48</v>
      </c>
      <c r="S23" s="13"/>
      <c r="T23" s="33"/>
      <c r="U23" s="1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spans="1:70" s="5" customFormat="1" ht="30" customHeight="1">
      <c r="A24" s="67" t="s">
        <v>12</v>
      </c>
      <c r="B24" s="71" t="s">
        <v>49</v>
      </c>
      <c r="C24" s="44">
        <v>30</v>
      </c>
      <c r="D24" s="44">
        <f t="shared" si="0"/>
        <v>30</v>
      </c>
      <c r="E24" s="44">
        <f>11.22+1.26</f>
        <v>12.48</v>
      </c>
      <c r="F24" s="45">
        <v>1</v>
      </c>
      <c r="G24" s="44">
        <f t="shared" si="1"/>
        <v>12.48</v>
      </c>
      <c r="H24" s="44">
        <f t="shared" si="2"/>
        <v>17.52</v>
      </c>
      <c r="I24" s="46">
        <f t="shared" si="3"/>
        <v>0.58399999999999996</v>
      </c>
      <c r="J24" s="44">
        <f t="shared" si="4"/>
        <v>17.52</v>
      </c>
      <c r="K24" s="47">
        <v>1</v>
      </c>
      <c r="L24" s="48">
        <f t="shared" si="5"/>
        <v>30</v>
      </c>
      <c r="M24" s="48">
        <f t="shared" si="6"/>
        <v>12.48</v>
      </c>
      <c r="N24" s="48">
        <f t="shared" si="7"/>
        <v>17.52</v>
      </c>
      <c r="O24" s="65">
        <f t="shared" si="8"/>
        <v>1</v>
      </c>
      <c r="P24" s="63">
        <f t="shared" si="9"/>
        <v>1.4038461538461537</v>
      </c>
      <c r="Q24" s="47" t="s">
        <v>50</v>
      </c>
      <c r="R24" s="1"/>
      <c r="S24" s="13" t="s">
        <v>51</v>
      </c>
      <c r="T24" s="31">
        <f>(T17/T19)-1</f>
        <v>0.91347568255727385</v>
      </c>
      <c r="U24" s="1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spans="1:70" s="5" customFormat="1" ht="30" customHeight="1">
      <c r="A25" s="67" t="s">
        <v>12</v>
      </c>
      <c r="B25" s="72" t="s">
        <v>52</v>
      </c>
      <c r="C25" s="49">
        <v>80</v>
      </c>
      <c r="D25" s="49">
        <f t="shared" si="0"/>
        <v>80</v>
      </c>
      <c r="E25" s="60">
        <v>59.3</v>
      </c>
      <c r="F25" s="50">
        <v>1</v>
      </c>
      <c r="G25" s="49">
        <f t="shared" si="1"/>
        <v>59.3</v>
      </c>
      <c r="H25" s="49">
        <f t="shared" si="2"/>
        <v>20.700000000000003</v>
      </c>
      <c r="I25" s="51">
        <f t="shared" si="3"/>
        <v>0.25875000000000004</v>
      </c>
      <c r="J25" s="49">
        <f t="shared" si="4"/>
        <v>20.700000000000003</v>
      </c>
      <c r="K25" s="52">
        <v>1</v>
      </c>
      <c r="L25" s="53">
        <f t="shared" si="5"/>
        <v>80</v>
      </c>
      <c r="M25" s="53">
        <f t="shared" si="6"/>
        <v>59.3</v>
      </c>
      <c r="N25" s="53">
        <f t="shared" si="7"/>
        <v>20.700000000000003</v>
      </c>
      <c r="O25" s="69">
        <f t="shared" si="8"/>
        <v>1</v>
      </c>
      <c r="P25" s="63">
        <f t="shared" si="9"/>
        <v>0.3490725126475549</v>
      </c>
      <c r="Q25" s="52" t="s">
        <v>50</v>
      </c>
      <c r="R25" s="1"/>
      <c r="S25" s="1"/>
      <c r="T25" s="1"/>
      <c r="U25" s="1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spans="1:70" s="5" customFormat="1" ht="30" customHeight="1">
      <c r="A26" s="67" t="s">
        <v>12</v>
      </c>
      <c r="B26" s="72" t="s">
        <v>53</v>
      </c>
      <c r="C26" s="49">
        <v>52.6</v>
      </c>
      <c r="D26" s="49">
        <f t="shared" si="0"/>
        <v>52.6</v>
      </c>
      <c r="E26" s="60">
        <v>52.6</v>
      </c>
      <c r="F26" s="50">
        <v>1</v>
      </c>
      <c r="G26" s="49">
        <f t="shared" si="1"/>
        <v>52.6</v>
      </c>
      <c r="H26" s="49">
        <f t="shared" si="2"/>
        <v>0</v>
      </c>
      <c r="I26" s="51">
        <f t="shared" si="3"/>
        <v>0</v>
      </c>
      <c r="J26" s="49">
        <f t="shared" si="4"/>
        <v>0</v>
      </c>
      <c r="K26" s="52">
        <v>1</v>
      </c>
      <c r="L26" s="53">
        <f t="shared" si="5"/>
        <v>52.6</v>
      </c>
      <c r="M26" s="53">
        <f t="shared" si="6"/>
        <v>52.6</v>
      </c>
      <c r="N26" s="53">
        <f t="shared" si="7"/>
        <v>0</v>
      </c>
      <c r="O26" s="69">
        <f t="shared" si="8"/>
        <v>1</v>
      </c>
      <c r="P26" s="63">
        <f t="shared" si="9"/>
        <v>0</v>
      </c>
      <c r="Q26" s="52" t="s">
        <v>50</v>
      </c>
      <c r="R26" s="1"/>
      <c r="S26" s="13" t="s">
        <v>54</v>
      </c>
      <c r="T26" s="17">
        <f>SUM($N$5:$N$210)</f>
        <v>363.30500000000006</v>
      </c>
      <c r="U26" s="1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spans="1:70" s="5" customFormat="1" ht="30" customHeight="1">
      <c r="A27" s="62" t="s">
        <v>12</v>
      </c>
      <c r="B27" s="72" t="s">
        <v>55</v>
      </c>
      <c r="C27" s="49">
        <v>100</v>
      </c>
      <c r="D27" s="49">
        <f t="shared" si="0"/>
        <v>100</v>
      </c>
      <c r="E27" s="49">
        <v>88.81</v>
      </c>
      <c r="F27" s="50">
        <v>1</v>
      </c>
      <c r="G27" s="49">
        <f t="shared" si="1"/>
        <v>88.81</v>
      </c>
      <c r="H27" s="49">
        <f t="shared" si="2"/>
        <v>11.189999999999998</v>
      </c>
      <c r="I27" s="51">
        <f t="shared" si="3"/>
        <v>0.11189999999999997</v>
      </c>
      <c r="J27" s="49">
        <f t="shared" si="4"/>
        <v>11.189999999999998</v>
      </c>
      <c r="K27" s="52">
        <v>1</v>
      </c>
      <c r="L27" s="53">
        <f t="shared" si="5"/>
        <v>100</v>
      </c>
      <c r="M27" s="53">
        <f t="shared" si="6"/>
        <v>88.81</v>
      </c>
      <c r="N27" s="53">
        <f t="shared" si="7"/>
        <v>11.189999999999998</v>
      </c>
      <c r="O27" s="69">
        <f t="shared" si="8"/>
        <v>1</v>
      </c>
      <c r="P27" s="63">
        <f t="shared" si="9"/>
        <v>0.1259993244004054</v>
      </c>
      <c r="Q27" s="52" t="s">
        <v>56</v>
      </c>
      <c r="R27" s="1"/>
      <c r="S27" s="13" t="s">
        <v>57</v>
      </c>
      <c r="T27" s="17">
        <f>SUM($M$4:$M$209)</f>
        <v>800.99500000000012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spans="1:70" ht="30" customHeight="1">
      <c r="A28" s="36" t="s">
        <v>12</v>
      </c>
      <c r="B28" s="73" t="s">
        <v>58</v>
      </c>
      <c r="C28" s="54">
        <v>90</v>
      </c>
      <c r="D28" s="54">
        <f t="shared" si="0"/>
        <v>90</v>
      </c>
      <c r="E28" s="55">
        <f>46.01+6.11+20.04</f>
        <v>72.16</v>
      </c>
      <c r="F28" s="56">
        <v>1</v>
      </c>
      <c r="G28" s="54">
        <f t="shared" si="1"/>
        <v>72.16</v>
      </c>
      <c r="H28" s="54">
        <f t="shared" si="2"/>
        <v>17.840000000000003</v>
      </c>
      <c r="I28" s="57">
        <f t="shared" si="3"/>
        <v>0.19822222222222227</v>
      </c>
      <c r="J28" s="54">
        <f t="shared" si="4"/>
        <v>17.840000000000003</v>
      </c>
      <c r="K28" s="58">
        <v>1</v>
      </c>
      <c r="L28" s="59">
        <f t="shared" si="5"/>
        <v>90</v>
      </c>
      <c r="M28" s="59">
        <f t="shared" si="6"/>
        <v>72.16</v>
      </c>
      <c r="N28" s="59">
        <f t="shared" si="7"/>
        <v>17.840000000000003</v>
      </c>
      <c r="O28" s="63">
        <f t="shared" si="8"/>
        <v>1</v>
      </c>
      <c r="P28" s="63">
        <f t="shared" si="9"/>
        <v>0.24722838137472292</v>
      </c>
      <c r="Q28" s="58" t="s">
        <v>59</v>
      </c>
      <c r="S28" s="13" t="s">
        <v>60</v>
      </c>
      <c r="T28" s="16">
        <f>T26/T27</f>
        <v>0.45356712588717785</v>
      </c>
      <c r="U28" s="17"/>
      <c r="V28" s="18"/>
      <c r="W28" s="19"/>
      <c r="X28" s="20"/>
    </row>
    <row r="29" spans="1:70" ht="30" customHeight="1">
      <c r="A29" s="36" t="s">
        <v>12</v>
      </c>
      <c r="B29" s="72" t="s">
        <v>32</v>
      </c>
      <c r="C29" s="49">
        <v>16.95</v>
      </c>
      <c r="D29" s="49">
        <f t="shared" si="0"/>
        <v>16.95</v>
      </c>
      <c r="E29" s="49">
        <v>13.48</v>
      </c>
      <c r="F29" s="50">
        <v>1</v>
      </c>
      <c r="G29" s="49">
        <f t="shared" si="1"/>
        <v>13.48</v>
      </c>
      <c r="H29" s="49">
        <f t="shared" si="2"/>
        <v>3.4699999999999989</v>
      </c>
      <c r="I29" s="51">
        <f t="shared" si="3"/>
        <v>0.20471976401179934</v>
      </c>
      <c r="J29" s="49">
        <f t="shared" si="4"/>
        <v>3.4699999999999989</v>
      </c>
      <c r="K29" s="52">
        <v>1</v>
      </c>
      <c r="L29" s="53">
        <f t="shared" si="5"/>
        <v>16.95</v>
      </c>
      <c r="M29" s="53">
        <f t="shared" si="6"/>
        <v>13.48</v>
      </c>
      <c r="N29" s="53">
        <f t="shared" si="7"/>
        <v>3.4699999999999989</v>
      </c>
      <c r="O29" s="69">
        <f t="shared" si="8"/>
        <v>1</v>
      </c>
      <c r="P29" s="63">
        <f t="shared" si="9"/>
        <v>0.25741839762611263</v>
      </c>
      <c r="Q29" s="52" t="s">
        <v>61</v>
      </c>
    </row>
    <row r="30" spans="1:70" ht="30" customHeight="1">
      <c r="A30" s="36" t="s">
        <v>12</v>
      </c>
      <c r="B30" s="70" t="s">
        <v>62</v>
      </c>
      <c r="C30" s="38">
        <v>75</v>
      </c>
      <c r="D30" s="38">
        <f t="shared" si="0"/>
        <v>225</v>
      </c>
      <c r="E30" s="39">
        <f>102.24+52.6</f>
        <v>154.84</v>
      </c>
      <c r="F30" s="40">
        <v>3</v>
      </c>
      <c r="G30" s="38">
        <f t="shared" si="1"/>
        <v>51.613333333333337</v>
      </c>
      <c r="H30" s="38">
        <f t="shared" si="2"/>
        <v>23.386666666666663</v>
      </c>
      <c r="I30" s="41">
        <f t="shared" si="3"/>
        <v>0.31182222222222217</v>
      </c>
      <c r="J30" s="38">
        <f t="shared" si="4"/>
        <v>70.16</v>
      </c>
      <c r="K30" s="42">
        <v>3</v>
      </c>
      <c r="L30" s="43">
        <f t="shared" si="5"/>
        <v>225</v>
      </c>
      <c r="M30" s="43">
        <f t="shared" si="6"/>
        <v>154.84</v>
      </c>
      <c r="N30" s="43">
        <f t="shared" si="7"/>
        <v>70.16</v>
      </c>
      <c r="O30" s="68">
        <f t="shared" si="8"/>
        <v>1</v>
      </c>
      <c r="P30" s="63">
        <f t="shared" si="9"/>
        <v>0.45311289072591054</v>
      </c>
      <c r="Q30" s="42" t="s">
        <v>63</v>
      </c>
    </row>
    <row r="31" spans="1:70" ht="30" customHeight="1">
      <c r="A31" s="36" t="s">
        <v>12</v>
      </c>
      <c r="B31" s="72" t="s">
        <v>32</v>
      </c>
      <c r="C31" s="49">
        <v>18</v>
      </c>
      <c r="D31" s="49">
        <f t="shared" si="0"/>
        <v>18</v>
      </c>
      <c r="E31" s="49">
        <v>12.09</v>
      </c>
      <c r="F31" s="50">
        <v>1</v>
      </c>
      <c r="G31" s="49">
        <f t="shared" si="1"/>
        <v>12.09</v>
      </c>
      <c r="H31" s="49">
        <f t="shared" si="2"/>
        <v>5.91</v>
      </c>
      <c r="I31" s="51">
        <f t="shared" si="3"/>
        <v>0.32833333333333337</v>
      </c>
      <c r="J31" s="49">
        <f t="shared" si="4"/>
        <v>5.91</v>
      </c>
      <c r="K31" s="52">
        <v>1</v>
      </c>
      <c r="L31" s="53">
        <f t="shared" si="5"/>
        <v>18</v>
      </c>
      <c r="M31" s="53">
        <f t="shared" si="6"/>
        <v>12.09</v>
      </c>
      <c r="N31" s="53">
        <f t="shared" si="7"/>
        <v>5.91</v>
      </c>
      <c r="O31" s="69">
        <f t="shared" si="8"/>
        <v>1</v>
      </c>
      <c r="P31" s="63">
        <f t="shared" si="9"/>
        <v>0.48883374689826309</v>
      </c>
      <c r="Q31" s="52"/>
    </row>
    <row r="32" spans="1:70" ht="30" customHeight="1">
      <c r="A32" s="36" t="s">
        <v>12</v>
      </c>
      <c r="B32" s="72" t="s">
        <v>64</v>
      </c>
      <c r="C32" s="49">
        <v>30.95</v>
      </c>
      <c r="D32" s="49">
        <f t="shared" si="0"/>
        <v>30.95</v>
      </c>
      <c r="E32" s="49">
        <f>(11.23+8.67)*F32</f>
        <v>19.899999999999999</v>
      </c>
      <c r="F32" s="50">
        <v>1</v>
      </c>
      <c r="G32" s="49">
        <f t="shared" si="1"/>
        <v>19.899999999999999</v>
      </c>
      <c r="H32" s="49">
        <f t="shared" si="2"/>
        <v>11.05</v>
      </c>
      <c r="I32" s="51">
        <f t="shared" si="3"/>
        <v>0.35702746365105009</v>
      </c>
      <c r="J32" s="49">
        <f t="shared" si="4"/>
        <v>11.05</v>
      </c>
      <c r="K32" s="52">
        <v>1</v>
      </c>
      <c r="L32" s="53">
        <f t="shared" si="5"/>
        <v>30.95</v>
      </c>
      <c r="M32" s="53">
        <f t="shared" si="6"/>
        <v>19.899999999999999</v>
      </c>
      <c r="N32" s="53">
        <f t="shared" si="7"/>
        <v>11.05</v>
      </c>
      <c r="O32" s="69">
        <f t="shared" si="8"/>
        <v>1</v>
      </c>
      <c r="P32" s="63">
        <f t="shared" si="9"/>
        <v>0.55527638190954787</v>
      </c>
      <c r="Q32" s="52" t="s">
        <v>65</v>
      </c>
    </row>
    <row r="33" spans="1:70" ht="30" customHeight="1">
      <c r="A33" s="36" t="s">
        <v>12</v>
      </c>
      <c r="B33" s="72" t="s">
        <v>37</v>
      </c>
      <c r="C33" s="49">
        <v>2</v>
      </c>
      <c r="D33" s="49">
        <f t="shared" si="0"/>
        <v>2</v>
      </c>
      <c r="E33" s="49">
        <v>1.26</v>
      </c>
      <c r="F33" s="50">
        <v>1</v>
      </c>
      <c r="G33" s="49">
        <f t="shared" si="1"/>
        <v>1.26</v>
      </c>
      <c r="H33" s="49">
        <f t="shared" si="2"/>
        <v>0.74</v>
      </c>
      <c r="I33" s="51">
        <f t="shared" si="3"/>
        <v>0.37</v>
      </c>
      <c r="J33" s="49">
        <f t="shared" si="4"/>
        <v>0.74</v>
      </c>
      <c r="K33" s="52">
        <v>1</v>
      </c>
      <c r="L33" s="53">
        <f t="shared" si="5"/>
        <v>2</v>
      </c>
      <c r="M33" s="53">
        <f t="shared" si="6"/>
        <v>1.26</v>
      </c>
      <c r="N33" s="53">
        <f t="shared" si="7"/>
        <v>0.74</v>
      </c>
      <c r="O33" s="69">
        <f t="shared" si="8"/>
        <v>1</v>
      </c>
      <c r="P33" s="63">
        <f t="shared" si="9"/>
        <v>0.58730158730158721</v>
      </c>
      <c r="Q33" s="52"/>
    </row>
    <row r="34" spans="1:70" ht="30" customHeight="1">
      <c r="A34" s="36" t="s">
        <v>12</v>
      </c>
      <c r="B34" s="72" t="s">
        <v>66</v>
      </c>
      <c r="C34" s="49">
        <v>70</v>
      </c>
      <c r="D34" s="49">
        <f t="shared" si="0"/>
        <v>70</v>
      </c>
      <c r="E34" s="49">
        <v>43.91</v>
      </c>
      <c r="F34" s="50">
        <v>1</v>
      </c>
      <c r="G34" s="49">
        <f t="shared" si="1"/>
        <v>43.91</v>
      </c>
      <c r="H34" s="49">
        <f t="shared" si="2"/>
        <v>26.090000000000003</v>
      </c>
      <c r="I34" s="51">
        <f t="shared" si="3"/>
        <v>0.37271428571428578</v>
      </c>
      <c r="J34" s="49">
        <f t="shared" si="4"/>
        <v>26.090000000000003</v>
      </c>
      <c r="K34" s="52">
        <v>1</v>
      </c>
      <c r="L34" s="53">
        <f t="shared" si="5"/>
        <v>70</v>
      </c>
      <c r="M34" s="53">
        <f t="shared" si="6"/>
        <v>43.91</v>
      </c>
      <c r="N34" s="53">
        <f t="shared" si="7"/>
        <v>26.090000000000003</v>
      </c>
      <c r="O34" s="69">
        <f t="shared" si="8"/>
        <v>1</v>
      </c>
      <c r="P34" s="63">
        <f t="shared" si="9"/>
        <v>0.5941698929628787</v>
      </c>
      <c r="Q34" s="52" t="s">
        <v>67</v>
      </c>
    </row>
    <row r="35" spans="1:70" ht="30" customHeight="1">
      <c r="A35" s="36" t="s">
        <v>12</v>
      </c>
      <c r="B35" s="72" t="s">
        <v>68</v>
      </c>
      <c r="C35" s="49">
        <v>20</v>
      </c>
      <c r="D35" s="49">
        <f t="shared" si="0"/>
        <v>20</v>
      </c>
      <c r="E35" s="67">
        <f>11.22+1.26</f>
        <v>12.48</v>
      </c>
      <c r="F35" s="67">
        <v>1</v>
      </c>
      <c r="G35" s="67">
        <f t="shared" si="1"/>
        <v>12.48</v>
      </c>
      <c r="H35" s="67">
        <f t="shared" si="2"/>
        <v>7.52</v>
      </c>
      <c r="I35" s="51">
        <f t="shared" si="3"/>
        <v>0.376</v>
      </c>
      <c r="J35" s="67">
        <f t="shared" si="4"/>
        <v>7.52</v>
      </c>
      <c r="K35" s="67">
        <v>1</v>
      </c>
      <c r="L35" s="53">
        <f t="shared" si="5"/>
        <v>20</v>
      </c>
      <c r="M35" s="67">
        <f t="shared" si="6"/>
        <v>12.48</v>
      </c>
      <c r="N35" s="67">
        <f t="shared" si="7"/>
        <v>7.52</v>
      </c>
      <c r="O35" s="69">
        <f t="shared" si="8"/>
        <v>1</v>
      </c>
      <c r="P35" s="63">
        <f t="shared" si="9"/>
        <v>0.60256410256410242</v>
      </c>
      <c r="Q35" s="67" t="s">
        <v>69</v>
      </c>
    </row>
    <row r="36" spans="1:70" ht="30" customHeight="1">
      <c r="A36" s="36" t="s">
        <v>12</v>
      </c>
      <c r="B36" s="72" t="s">
        <v>32</v>
      </c>
      <c r="C36" s="49">
        <v>20</v>
      </c>
      <c r="D36" s="49">
        <f t="shared" si="0"/>
        <v>60</v>
      </c>
      <c r="E36" s="49">
        <f>12.09*3</f>
        <v>36.269999999999996</v>
      </c>
      <c r="F36" s="50">
        <v>3</v>
      </c>
      <c r="G36" s="49">
        <f t="shared" si="1"/>
        <v>12.089999999999998</v>
      </c>
      <c r="H36" s="49">
        <f t="shared" si="2"/>
        <v>7.9100000000000019</v>
      </c>
      <c r="I36" s="51">
        <f t="shared" si="3"/>
        <v>0.39550000000000007</v>
      </c>
      <c r="J36" s="49">
        <f t="shared" si="4"/>
        <v>23.730000000000004</v>
      </c>
      <c r="K36" s="52">
        <v>3</v>
      </c>
      <c r="L36" s="53">
        <f t="shared" si="5"/>
        <v>60</v>
      </c>
      <c r="M36" s="53">
        <f t="shared" si="6"/>
        <v>36.269999999999996</v>
      </c>
      <c r="N36" s="53">
        <f t="shared" si="7"/>
        <v>23.730000000000004</v>
      </c>
      <c r="O36" s="69">
        <f t="shared" si="8"/>
        <v>1</v>
      </c>
      <c r="P36" s="63">
        <f t="shared" si="9"/>
        <v>0.6542597187758481</v>
      </c>
      <c r="Q36" s="52"/>
    </row>
    <row r="37" spans="1:70" ht="30" customHeight="1">
      <c r="A37" s="36" t="s">
        <v>12</v>
      </c>
      <c r="B37" s="72" t="s">
        <v>32</v>
      </c>
      <c r="C37" s="49">
        <v>25</v>
      </c>
      <c r="D37" s="49">
        <f t="shared" si="0"/>
        <v>25</v>
      </c>
      <c r="E37" s="49">
        <v>13.69</v>
      </c>
      <c r="F37" s="50">
        <v>1</v>
      </c>
      <c r="G37" s="49">
        <f t="shared" si="1"/>
        <v>13.69</v>
      </c>
      <c r="H37" s="49">
        <f t="shared" si="2"/>
        <v>11.31</v>
      </c>
      <c r="I37" s="51">
        <f t="shared" si="3"/>
        <v>0.45240000000000002</v>
      </c>
      <c r="J37" s="49">
        <f t="shared" si="4"/>
        <v>11.31</v>
      </c>
      <c r="K37" s="52">
        <v>1</v>
      </c>
      <c r="L37" s="53">
        <f t="shared" si="5"/>
        <v>25</v>
      </c>
      <c r="M37" s="53">
        <f t="shared" si="6"/>
        <v>13.69</v>
      </c>
      <c r="N37" s="53">
        <f t="shared" si="7"/>
        <v>11.31</v>
      </c>
      <c r="O37" s="69">
        <f t="shared" si="8"/>
        <v>1</v>
      </c>
      <c r="P37" s="63">
        <f t="shared" si="9"/>
        <v>0.82615047479912351</v>
      </c>
      <c r="Q37" s="52"/>
    </row>
    <row r="38" spans="1:70" ht="30" customHeight="1">
      <c r="A38" s="36" t="s">
        <v>12</v>
      </c>
      <c r="B38" s="72" t="s">
        <v>70</v>
      </c>
      <c r="C38" s="49">
        <v>20</v>
      </c>
      <c r="D38" s="49">
        <f t="shared" si="0"/>
        <v>20</v>
      </c>
      <c r="E38" s="49">
        <f>17.55/2</f>
        <v>8.7750000000000004</v>
      </c>
      <c r="F38" s="50">
        <v>1</v>
      </c>
      <c r="G38" s="49">
        <f t="shared" si="1"/>
        <v>8.7750000000000004</v>
      </c>
      <c r="H38" s="49">
        <f t="shared" si="2"/>
        <v>11.225</v>
      </c>
      <c r="I38" s="51">
        <f t="shared" si="3"/>
        <v>0.56125000000000003</v>
      </c>
      <c r="J38" s="49">
        <f t="shared" si="4"/>
        <v>11.225</v>
      </c>
      <c r="K38" s="52">
        <v>1</v>
      </c>
      <c r="L38" s="53">
        <f t="shared" si="5"/>
        <v>20</v>
      </c>
      <c r="M38" s="53">
        <f t="shared" si="6"/>
        <v>8.7750000000000004</v>
      </c>
      <c r="N38" s="53">
        <f t="shared" si="7"/>
        <v>11.225</v>
      </c>
      <c r="O38" s="69">
        <f t="shared" si="8"/>
        <v>1</v>
      </c>
      <c r="P38" s="63">
        <f t="shared" si="9"/>
        <v>1.2792022792022792</v>
      </c>
      <c r="Q38" s="52"/>
    </row>
    <row r="39" spans="1:70" ht="33">
      <c r="A39" s="36" t="s">
        <v>12</v>
      </c>
      <c r="B39" s="72" t="s">
        <v>34</v>
      </c>
      <c r="C39" s="49">
        <v>4</v>
      </c>
      <c r="D39" s="49">
        <f t="shared" si="0"/>
        <v>8</v>
      </c>
      <c r="E39" s="49">
        <v>1.69</v>
      </c>
      <c r="F39" s="50">
        <v>2</v>
      </c>
      <c r="G39" s="49">
        <f t="shared" si="1"/>
        <v>0.84499999999999997</v>
      </c>
      <c r="H39" s="49">
        <f t="shared" si="2"/>
        <v>3.1550000000000002</v>
      </c>
      <c r="I39" s="51">
        <f t="shared" si="3"/>
        <v>0.78875000000000006</v>
      </c>
      <c r="J39" s="49">
        <f t="shared" si="4"/>
        <v>6.3100000000000005</v>
      </c>
      <c r="K39" s="52">
        <v>2</v>
      </c>
      <c r="L39" s="53">
        <f t="shared" si="5"/>
        <v>8</v>
      </c>
      <c r="M39" s="53">
        <f t="shared" si="6"/>
        <v>1.69</v>
      </c>
      <c r="N39" s="53">
        <f t="shared" si="7"/>
        <v>6.3100000000000005</v>
      </c>
      <c r="O39" s="69">
        <f t="shared" si="8"/>
        <v>1</v>
      </c>
      <c r="P39" s="63">
        <f t="shared" si="9"/>
        <v>3.7337278106508878</v>
      </c>
      <c r="Q39" s="52" t="s">
        <v>71</v>
      </c>
    </row>
    <row r="40" spans="1:70" ht="18">
      <c r="A40" s="36" t="s">
        <v>12</v>
      </c>
      <c r="B40" s="72" t="s">
        <v>72</v>
      </c>
      <c r="C40" s="49">
        <v>-80</v>
      </c>
      <c r="D40" s="49">
        <f t="shared" ref="D40" si="20">F40*C40</f>
        <v>-80</v>
      </c>
      <c r="E40" s="49">
        <v>0</v>
      </c>
      <c r="F40" s="50">
        <v>1</v>
      </c>
      <c r="G40" s="49">
        <f t="shared" ref="G40" si="21">IFERROR(E40/F40,"")</f>
        <v>0</v>
      </c>
      <c r="H40" s="49">
        <f t="shared" ref="H40" si="22">C40-G40</f>
        <v>-80</v>
      </c>
      <c r="I40" s="51">
        <f t="shared" ref="I40" si="23">(C40-G40)/C40</f>
        <v>1</v>
      </c>
      <c r="J40" s="49">
        <f t="shared" ref="J40" si="24">D40-E40</f>
        <v>-80</v>
      </c>
      <c r="K40" s="52">
        <v>1</v>
      </c>
      <c r="L40" s="53">
        <f t="shared" ref="L40" si="25">C40*K40</f>
        <v>-80</v>
      </c>
      <c r="M40" s="53">
        <f t="shared" ref="M40" si="26">K40*G40</f>
        <v>0</v>
      </c>
      <c r="N40" s="53">
        <f t="shared" ref="N40" si="27">H40*K40</f>
        <v>-80</v>
      </c>
      <c r="O40" s="69">
        <f t="shared" ref="O40" si="28">K40/F40</f>
        <v>1</v>
      </c>
      <c r="P40" s="63" t="e">
        <f t="shared" ref="P40" si="29">(C40/G40)-1</f>
        <v>#DIV/0!</v>
      </c>
      <c r="Q40" s="52" t="s">
        <v>73</v>
      </c>
    </row>
    <row r="41" spans="1:70" s="5" customFormat="1" ht="3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spans="1:70" ht="30" customHeight="1"/>
    <row r="43" spans="1:70" ht="30" customHeight="1"/>
    <row r="44" spans="1:70" ht="30" customHeight="1">
      <c r="A44" s="32"/>
      <c r="O44" s="30"/>
      <c r="P44" s="30"/>
    </row>
    <row r="45" spans="1:70" ht="30" customHeight="1">
      <c r="A45" s="32"/>
      <c r="O45" s="30"/>
      <c r="P45" s="30"/>
    </row>
    <row r="46" spans="1:70" ht="30" customHeight="1">
      <c r="A46" s="32"/>
      <c r="O46" s="30"/>
      <c r="P46" s="30"/>
    </row>
    <row r="47" spans="1:70" ht="30" customHeight="1">
      <c r="A47" s="32"/>
      <c r="O47" s="30"/>
      <c r="P47" s="30"/>
    </row>
    <row r="48" spans="1:70" ht="30" customHeight="1">
      <c r="A48" s="32"/>
      <c r="O48" s="30"/>
      <c r="P48" s="30"/>
    </row>
    <row r="49" spans="1:16" ht="30" customHeight="1">
      <c r="A49" s="32"/>
      <c r="O49" s="30"/>
      <c r="P49" s="30"/>
    </row>
    <row r="50" spans="1:16" ht="30" customHeight="1">
      <c r="A50" s="32"/>
      <c r="O50" s="30"/>
      <c r="P50" s="30"/>
    </row>
    <row r="51" spans="1:16" ht="30" customHeight="1">
      <c r="A51" s="32"/>
      <c r="O51" s="30"/>
      <c r="P51" s="30"/>
    </row>
    <row r="52" spans="1:16" ht="30" customHeight="1">
      <c r="A52" s="32"/>
      <c r="O52" s="30"/>
      <c r="P52" s="30"/>
    </row>
    <row r="53" spans="1:16" ht="30" customHeight="1">
      <c r="A53" s="32"/>
      <c r="O53" s="30"/>
      <c r="P53" s="30"/>
    </row>
    <row r="54" spans="1:16" ht="30" customHeight="1">
      <c r="A54" s="32"/>
      <c r="O54" s="30"/>
      <c r="P54" s="30"/>
    </row>
    <row r="55" spans="1:16" ht="30" customHeight="1">
      <c r="A55" s="32"/>
      <c r="O55" s="30"/>
      <c r="P55" s="30"/>
    </row>
    <row r="56" spans="1:16" ht="30" customHeight="1">
      <c r="A56" s="32"/>
      <c r="O56" s="30"/>
      <c r="P56" s="30"/>
    </row>
    <row r="57" spans="1:16" ht="30" customHeight="1">
      <c r="A57" s="32"/>
      <c r="O57" s="30"/>
      <c r="P57" s="30"/>
    </row>
    <row r="58" spans="1:16" ht="30" customHeight="1">
      <c r="A58" s="32"/>
      <c r="O58" s="30"/>
      <c r="P58" s="30"/>
    </row>
    <row r="59" spans="1:16" ht="30" customHeight="1">
      <c r="A59" s="32"/>
      <c r="O59" s="30"/>
      <c r="P59" s="30"/>
    </row>
    <row r="60" spans="1:16" ht="30" customHeight="1">
      <c r="A60" s="32"/>
      <c r="O60" s="30"/>
      <c r="P60" s="30"/>
    </row>
    <row r="61" spans="1:16" ht="30" customHeight="1">
      <c r="A61" s="32"/>
      <c r="O61" s="30"/>
      <c r="P61" s="30"/>
    </row>
    <row r="62" spans="1:16" ht="30" customHeight="1">
      <c r="A62" s="32"/>
      <c r="O62" s="30"/>
      <c r="P62" s="30"/>
    </row>
    <row r="63" spans="1:16" ht="30" customHeight="1">
      <c r="A63" s="32"/>
      <c r="O63" s="30"/>
      <c r="P63" s="30"/>
    </row>
    <row r="64" spans="1:16" ht="30" customHeight="1">
      <c r="A64" s="32"/>
      <c r="O64" s="30"/>
      <c r="P64" s="30"/>
    </row>
    <row r="65" spans="1:16" ht="30" customHeight="1">
      <c r="A65" s="32"/>
      <c r="O65" s="30"/>
      <c r="P65" s="30"/>
    </row>
    <row r="66" spans="1:16" ht="30" customHeight="1">
      <c r="A66" s="32"/>
      <c r="O66" s="30"/>
      <c r="P66" s="30"/>
    </row>
    <row r="67" spans="1:16" ht="30" customHeight="1">
      <c r="A67" s="32"/>
      <c r="O67" s="30"/>
      <c r="P67" s="30"/>
    </row>
    <row r="68" spans="1:16" ht="30" customHeight="1">
      <c r="A68" s="32"/>
      <c r="O68" s="30"/>
      <c r="P68" s="30"/>
    </row>
    <row r="69" spans="1:16" ht="30" customHeight="1">
      <c r="A69" s="32"/>
      <c r="O69" s="30"/>
      <c r="P69" s="30"/>
    </row>
    <row r="70" spans="1:16" ht="30" customHeight="1">
      <c r="A70" s="32"/>
      <c r="O70" s="30"/>
      <c r="P70" s="30"/>
    </row>
    <row r="71" spans="1:16" ht="30" customHeight="1">
      <c r="A71" s="32"/>
      <c r="O71" s="30"/>
      <c r="P71" s="30"/>
    </row>
    <row r="72" spans="1:16" ht="30" customHeight="1">
      <c r="A72" s="32"/>
      <c r="O72" s="30"/>
      <c r="P72" s="30"/>
    </row>
    <row r="73" spans="1:16" ht="30" customHeight="1">
      <c r="A73" s="32"/>
      <c r="O73" s="30"/>
      <c r="P73" s="30"/>
    </row>
    <row r="74" spans="1:16" ht="30" customHeight="1">
      <c r="A74" s="32"/>
      <c r="O74" s="30"/>
      <c r="P74" s="30"/>
    </row>
    <row r="75" spans="1:16" ht="30" customHeight="1">
      <c r="A75" s="32"/>
      <c r="O75" s="30"/>
      <c r="P75" s="30"/>
    </row>
    <row r="76" spans="1:16" ht="30" customHeight="1">
      <c r="A76" s="32"/>
      <c r="O76" s="30"/>
      <c r="P76" s="30"/>
    </row>
    <row r="77" spans="1:16" ht="30" customHeight="1">
      <c r="A77" s="32"/>
      <c r="O77" s="30"/>
      <c r="P77" s="30"/>
    </row>
    <row r="78" spans="1:16" ht="30" customHeight="1">
      <c r="A78" s="32"/>
      <c r="O78" s="30"/>
      <c r="P78" s="30"/>
    </row>
    <row r="79" spans="1:16" ht="30" customHeight="1">
      <c r="A79" s="32"/>
      <c r="O79" s="30"/>
      <c r="P79" s="30"/>
    </row>
    <row r="80" spans="1:16" ht="30" customHeight="1">
      <c r="A80" s="32"/>
      <c r="O80" s="30"/>
      <c r="P80" s="30"/>
    </row>
    <row r="81" spans="1:16" ht="30" customHeight="1">
      <c r="A81" s="32"/>
      <c r="O81" s="30"/>
      <c r="P81" s="30"/>
    </row>
    <row r="82" spans="1:16" ht="30" customHeight="1">
      <c r="A82" s="32"/>
      <c r="O82" s="30"/>
      <c r="P82" s="30"/>
    </row>
    <row r="83" spans="1:16" ht="30" customHeight="1">
      <c r="A83" s="32"/>
      <c r="O83" s="30"/>
      <c r="P83" s="30"/>
    </row>
    <row r="84" spans="1:16" ht="30" customHeight="1">
      <c r="A84" s="32"/>
      <c r="O84" s="30"/>
      <c r="P84" s="30"/>
    </row>
    <row r="85" spans="1:16" ht="30" customHeight="1">
      <c r="A85" s="32"/>
      <c r="O85" s="30"/>
      <c r="P85" s="30"/>
    </row>
    <row r="86" spans="1:16" ht="30" customHeight="1">
      <c r="A86" s="32"/>
      <c r="O86" s="30"/>
      <c r="P86" s="30"/>
    </row>
    <row r="87" spans="1:16" ht="30" customHeight="1">
      <c r="A87" s="32"/>
      <c r="O87" s="30"/>
      <c r="P87" s="30"/>
    </row>
    <row r="88" spans="1:16" ht="30" customHeight="1">
      <c r="A88" s="32"/>
      <c r="O88" s="30"/>
      <c r="P88" s="30"/>
    </row>
    <row r="89" spans="1:16" ht="30" customHeight="1">
      <c r="A89" s="32"/>
      <c r="O89" s="30"/>
      <c r="P89" s="30"/>
    </row>
    <row r="90" spans="1:16" ht="30" customHeight="1">
      <c r="A90" s="32"/>
      <c r="O90" s="30"/>
      <c r="P90" s="30"/>
    </row>
    <row r="91" spans="1:16" ht="30" customHeight="1">
      <c r="A91" s="32"/>
      <c r="O91" s="30"/>
      <c r="P91" s="30"/>
    </row>
    <row r="92" spans="1:16" ht="30" customHeight="1">
      <c r="A92" s="32"/>
      <c r="O92" s="30"/>
      <c r="P92" s="30"/>
    </row>
    <row r="93" spans="1:16" ht="30" customHeight="1">
      <c r="A93" s="32"/>
      <c r="O93" s="30"/>
      <c r="P93" s="30"/>
    </row>
    <row r="94" spans="1:16" ht="30" customHeight="1">
      <c r="A94" s="32"/>
      <c r="O94" s="30"/>
      <c r="P94" s="30"/>
    </row>
    <row r="95" spans="1:16" ht="30" customHeight="1">
      <c r="A95" s="32"/>
      <c r="O95" s="30"/>
      <c r="P95" s="30"/>
    </row>
    <row r="96" spans="1:16" ht="30" customHeight="1">
      <c r="A96" s="32"/>
      <c r="O96" s="30"/>
      <c r="P96" s="30"/>
    </row>
    <row r="97" spans="1:16" ht="30" customHeight="1">
      <c r="A97" s="32"/>
      <c r="O97" s="30"/>
      <c r="P97" s="30"/>
    </row>
    <row r="98" spans="1:16" ht="30" customHeight="1">
      <c r="A98" s="32"/>
      <c r="O98" s="30"/>
      <c r="P98" s="30"/>
    </row>
    <row r="99" spans="1:16" ht="30" customHeight="1">
      <c r="A99" s="32"/>
      <c r="O99" s="30"/>
      <c r="P99" s="30"/>
    </row>
    <row r="100" spans="1:16" ht="30" customHeight="1">
      <c r="A100" s="32"/>
      <c r="O100" s="30"/>
      <c r="P100" s="30"/>
    </row>
    <row r="101" spans="1:16" ht="30" customHeight="1">
      <c r="A101" s="32"/>
      <c r="O101" s="30"/>
      <c r="P101" s="30"/>
    </row>
    <row r="102" spans="1:16" ht="30" customHeight="1">
      <c r="A102" s="32"/>
      <c r="O102" s="30"/>
      <c r="P102" s="30"/>
    </row>
    <row r="103" spans="1:16" ht="30" customHeight="1">
      <c r="A103" s="32"/>
      <c r="O103" s="30"/>
      <c r="P103" s="30"/>
    </row>
    <row r="104" spans="1:16" ht="30" customHeight="1">
      <c r="A104" s="32"/>
      <c r="O104" s="30"/>
      <c r="P104" s="30"/>
    </row>
    <row r="105" spans="1:16" ht="30" customHeight="1">
      <c r="A105" s="32"/>
      <c r="O105" s="30"/>
      <c r="P105" s="30"/>
    </row>
    <row r="106" spans="1:16" ht="30" customHeight="1">
      <c r="A106" s="32"/>
      <c r="O106" s="30"/>
      <c r="P106" s="30"/>
    </row>
    <row r="107" spans="1:16" ht="30" customHeight="1">
      <c r="A107" s="32"/>
      <c r="O107" s="30"/>
      <c r="P107" s="30"/>
    </row>
    <row r="108" spans="1:16" ht="30" customHeight="1">
      <c r="A108" s="32"/>
      <c r="O108" s="30"/>
      <c r="P108" s="30"/>
    </row>
    <row r="109" spans="1:16" ht="30" customHeight="1">
      <c r="A109" s="32"/>
      <c r="O109" s="30"/>
      <c r="P109" s="30"/>
    </row>
    <row r="110" spans="1:16" ht="30" customHeight="1">
      <c r="A110" s="32"/>
      <c r="O110" s="30"/>
      <c r="P110" s="30"/>
    </row>
    <row r="111" spans="1:16" ht="30" customHeight="1">
      <c r="A111" s="32"/>
      <c r="O111" s="30"/>
      <c r="P111" s="30"/>
    </row>
    <row r="112" spans="1:16" ht="30" customHeight="1">
      <c r="A112" s="32"/>
      <c r="O112" s="30"/>
      <c r="P112" s="30"/>
    </row>
    <row r="113" spans="1:16" ht="30" customHeight="1">
      <c r="A113" s="32"/>
      <c r="O113" s="30"/>
      <c r="P113" s="30"/>
    </row>
    <row r="114" spans="1:16" ht="30" customHeight="1">
      <c r="A114" s="32"/>
      <c r="O114" s="30"/>
      <c r="P114" s="30"/>
    </row>
    <row r="115" spans="1:16" ht="30" customHeight="1">
      <c r="A115" s="32"/>
      <c r="O115" s="30"/>
      <c r="P115" s="30"/>
    </row>
    <row r="116" spans="1:16" ht="30" customHeight="1">
      <c r="A116" s="32"/>
      <c r="O116" s="30"/>
      <c r="P116" s="30"/>
    </row>
    <row r="117" spans="1:16" ht="30" customHeight="1">
      <c r="A117" s="32"/>
      <c r="O117" s="30"/>
      <c r="P117" s="30"/>
    </row>
    <row r="118" spans="1:16" ht="30" customHeight="1">
      <c r="A118" s="32"/>
      <c r="O118" s="30"/>
      <c r="P118" s="30"/>
    </row>
    <row r="119" spans="1:16" ht="30" customHeight="1">
      <c r="A119" s="32"/>
      <c r="O119" s="30"/>
      <c r="P119" s="30"/>
    </row>
    <row r="120" spans="1:16" ht="30" customHeight="1">
      <c r="A120" s="32"/>
      <c r="O120" s="30"/>
      <c r="P120" s="30"/>
    </row>
    <row r="121" spans="1:16" ht="30" customHeight="1">
      <c r="A121" s="32"/>
      <c r="O121" s="30"/>
      <c r="P121" s="30"/>
    </row>
    <row r="122" spans="1:16" ht="30" customHeight="1">
      <c r="A122" s="32"/>
      <c r="O122" s="30"/>
      <c r="P122" s="30"/>
    </row>
    <row r="123" spans="1:16" ht="30" customHeight="1">
      <c r="A123" s="32"/>
      <c r="O123" s="30"/>
      <c r="P123" s="30"/>
    </row>
    <row r="124" spans="1:16" ht="30" customHeight="1">
      <c r="A124" s="32"/>
      <c r="O124" s="30"/>
      <c r="P124" s="30"/>
    </row>
    <row r="125" spans="1:16" ht="30" customHeight="1">
      <c r="A125" s="32"/>
      <c r="O125" s="30"/>
      <c r="P125" s="30"/>
    </row>
    <row r="126" spans="1:16" ht="30" customHeight="1">
      <c r="A126" s="32"/>
      <c r="O126" s="30"/>
      <c r="P126" s="30"/>
    </row>
    <row r="127" spans="1:16" ht="30" customHeight="1">
      <c r="A127" s="32"/>
      <c r="O127" s="30"/>
      <c r="P127" s="30"/>
    </row>
    <row r="128" spans="1:16" ht="30" customHeight="1">
      <c r="A128" s="32"/>
      <c r="O128" s="30"/>
      <c r="P128" s="30"/>
    </row>
    <row r="129" spans="1:16" ht="30" customHeight="1">
      <c r="A129" s="32"/>
      <c r="O129" s="30"/>
      <c r="P129" s="30"/>
    </row>
    <row r="130" spans="1:16" ht="30" customHeight="1">
      <c r="A130" s="32"/>
      <c r="O130" s="30"/>
      <c r="P130" s="30"/>
    </row>
    <row r="131" spans="1:16" ht="30" customHeight="1">
      <c r="A131" s="32"/>
      <c r="O131" s="30"/>
      <c r="P131" s="30"/>
    </row>
    <row r="132" spans="1:16" ht="30" customHeight="1">
      <c r="A132" s="32"/>
      <c r="O132" s="30"/>
      <c r="P132" s="30"/>
    </row>
    <row r="133" spans="1:16" ht="30" customHeight="1">
      <c r="A133" s="32"/>
      <c r="O133" s="30"/>
      <c r="P133" s="30"/>
    </row>
    <row r="134" spans="1:16" ht="30" customHeight="1">
      <c r="A134" s="32"/>
      <c r="O134" s="30"/>
      <c r="P134" s="30"/>
    </row>
    <row r="135" spans="1:16" ht="30" customHeight="1">
      <c r="A135" s="32"/>
      <c r="O135" s="30"/>
      <c r="P135" s="30"/>
    </row>
    <row r="136" spans="1:16" ht="30" customHeight="1">
      <c r="A136" s="32"/>
      <c r="O136" s="30"/>
      <c r="P136" s="30"/>
    </row>
    <row r="137" spans="1:16" ht="30" customHeight="1">
      <c r="A137" s="32"/>
      <c r="O137" s="30"/>
      <c r="P137" s="30"/>
    </row>
    <row r="138" spans="1:16" ht="30" customHeight="1">
      <c r="A138" s="32"/>
      <c r="O138" s="30"/>
      <c r="P138" s="30"/>
    </row>
    <row r="139" spans="1:16" ht="30" customHeight="1">
      <c r="A139" s="32"/>
      <c r="O139" s="30"/>
      <c r="P139" s="30"/>
    </row>
    <row r="140" spans="1:16" ht="30" customHeight="1">
      <c r="A140" s="32"/>
      <c r="O140" s="30"/>
      <c r="P140" s="30"/>
    </row>
    <row r="141" spans="1:16" ht="30" customHeight="1">
      <c r="A141" s="32"/>
      <c r="O141" s="30"/>
      <c r="P141" s="30"/>
    </row>
    <row r="142" spans="1:16" ht="30" customHeight="1">
      <c r="A142" s="32"/>
      <c r="O142" s="30"/>
      <c r="P142" s="30"/>
    </row>
    <row r="143" spans="1:16" ht="30" customHeight="1">
      <c r="A143" s="32"/>
      <c r="O143" s="30"/>
      <c r="P143" s="30"/>
    </row>
    <row r="144" spans="1:16" ht="30" customHeight="1">
      <c r="A144" s="32"/>
      <c r="O144" s="30"/>
      <c r="P144" s="30"/>
    </row>
    <row r="145" spans="1:16" ht="30" customHeight="1">
      <c r="A145" s="32"/>
      <c r="O145" s="30"/>
      <c r="P145" s="30"/>
    </row>
    <row r="146" spans="1:16" ht="30" customHeight="1">
      <c r="A146" s="32"/>
      <c r="O146" s="30"/>
      <c r="P146" s="30"/>
    </row>
    <row r="147" spans="1:16" ht="30" customHeight="1">
      <c r="A147" s="32"/>
      <c r="O147" s="30"/>
      <c r="P147" s="30"/>
    </row>
    <row r="148" spans="1:16" ht="30" customHeight="1">
      <c r="A148" s="32"/>
      <c r="O148" s="30"/>
      <c r="P148" s="30"/>
    </row>
    <row r="149" spans="1:16" ht="30" customHeight="1">
      <c r="A149" s="32"/>
      <c r="O149" s="30"/>
      <c r="P149" s="30"/>
    </row>
    <row r="150" spans="1:16" ht="30" customHeight="1">
      <c r="A150" s="32"/>
      <c r="O150" s="30"/>
      <c r="P150" s="30"/>
    </row>
    <row r="151" spans="1:16" ht="30" customHeight="1">
      <c r="A151" s="32"/>
      <c r="O151" s="30"/>
      <c r="P151" s="30"/>
    </row>
    <row r="152" spans="1:16" ht="30" customHeight="1">
      <c r="A152" s="32"/>
      <c r="O152" s="30"/>
      <c r="P152" s="30"/>
    </row>
    <row r="153" spans="1:16" ht="30" customHeight="1">
      <c r="A153" s="32"/>
      <c r="O153" s="30"/>
      <c r="P153" s="30"/>
    </row>
    <row r="154" spans="1:16" ht="30" customHeight="1">
      <c r="A154" s="32"/>
      <c r="O154" s="30"/>
      <c r="P154" s="30"/>
    </row>
    <row r="155" spans="1:16" ht="30" customHeight="1">
      <c r="A155" s="32"/>
      <c r="O155" s="30"/>
      <c r="P155" s="30"/>
    </row>
    <row r="156" spans="1:16" ht="30" customHeight="1">
      <c r="A156" s="32"/>
      <c r="O156" s="30"/>
      <c r="P156" s="30"/>
    </row>
    <row r="157" spans="1:16" ht="30" customHeight="1">
      <c r="A157" s="32"/>
      <c r="O157" s="30"/>
      <c r="P157" s="30"/>
    </row>
    <row r="158" spans="1:16" ht="30" customHeight="1">
      <c r="A158" s="32"/>
      <c r="O158" s="30"/>
      <c r="P158" s="30"/>
    </row>
    <row r="159" spans="1:16" ht="30" customHeight="1">
      <c r="A159" s="32"/>
      <c r="O159" s="30"/>
      <c r="P159" s="30"/>
    </row>
    <row r="160" spans="1:16" ht="30" customHeight="1">
      <c r="A160" s="32"/>
      <c r="O160" s="30"/>
      <c r="P160" s="30"/>
    </row>
    <row r="161" spans="1:16" ht="30" customHeight="1">
      <c r="A161" s="32"/>
      <c r="O161" s="30"/>
      <c r="P161" s="30"/>
    </row>
    <row r="162" spans="1:16" ht="30" customHeight="1">
      <c r="A162" s="32"/>
      <c r="O162" s="30"/>
      <c r="P162" s="30"/>
    </row>
    <row r="163" spans="1:16" ht="30" customHeight="1">
      <c r="A163" s="32"/>
      <c r="O163" s="30"/>
      <c r="P163" s="30"/>
    </row>
    <row r="164" spans="1:16" ht="30" customHeight="1">
      <c r="A164" s="32"/>
      <c r="O164" s="30"/>
      <c r="P164" s="30"/>
    </row>
    <row r="165" spans="1:16" ht="30" customHeight="1">
      <c r="A165" s="32"/>
      <c r="O165" s="30"/>
      <c r="P165" s="30"/>
    </row>
    <row r="166" spans="1:16" ht="30" customHeight="1">
      <c r="A166" s="32"/>
      <c r="O166" s="30"/>
      <c r="P166" s="30"/>
    </row>
    <row r="167" spans="1:16" ht="30" customHeight="1">
      <c r="A167" s="32"/>
      <c r="O167" s="30"/>
      <c r="P167" s="30"/>
    </row>
    <row r="168" spans="1:16" ht="30" customHeight="1">
      <c r="A168" s="32"/>
      <c r="O168" s="30"/>
      <c r="P168" s="30"/>
    </row>
    <row r="169" spans="1:16" ht="30" customHeight="1">
      <c r="A169" s="32"/>
      <c r="O169" s="30"/>
      <c r="P169" s="30"/>
    </row>
    <row r="170" spans="1:16" ht="30" customHeight="1">
      <c r="A170" s="32"/>
      <c r="O170" s="30"/>
      <c r="P170" s="30"/>
    </row>
    <row r="171" spans="1:16" ht="30" customHeight="1">
      <c r="A171" s="32"/>
      <c r="O171" s="30"/>
      <c r="P171" s="30"/>
    </row>
    <row r="172" spans="1:16" ht="30" customHeight="1">
      <c r="A172" s="32"/>
      <c r="O172" s="30"/>
      <c r="P172" s="30"/>
    </row>
    <row r="173" spans="1:16" ht="30" customHeight="1">
      <c r="A173" s="32"/>
      <c r="O173" s="30"/>
      <c r="P173" s="30"/>
    </row>
    <row r="174" spans="1:16" ht="30" customHeight="1">
      <c r="A174" s="32"/>
      <c r="O174" s="30"/>
      <c r="P174" s="30"/>
    </row>
    <row r="175" spans="1:16" ht="30" customHeight="1">
      <c r="A175" s="32"/>
      <c r="O175" s="30"/>
      <c r="P175" s="30"/>
    </row>
    <row r="176" spans="1:16" ht="30" customHeight="1">
      <c r="A176" s="32"/>
      <c r="O176" s="30"/>
      <c r="P176" s="30"/>
    </row>
    <row r="177" spans="1:16" ht="30" customHeight="1">
      <c r="A177" s="32"/>
      <c r="O177" s="30"/>
      <c r="P177" s="30"/>
    </row>
    <row r="178" spans="1:16" ht="30" customHeight="1">
      <c r="A178" s="32"/>
      <c r="O178" s="30"/>
      <c r="P178" s="30"/>
    </row>
    <row r="179" spans="1:16" ht="30" customHeight="1">
      <c r="A179" s="32"/>
      <c r="O179" s="30"/>
      <c r="P179" s="30"/>
    </row>
    <row r="180" spans="1:16" ht="30" customHeight="1">
      <c r="A180" s="32"/>
      <c r="O180" s="30"/>
      <c r="P180" s="30"/>
    </row>
    <row r="181" spans="1:16" ht="30" customHeight="1">
      <c r="A181" s="32"/>
      <c r="O181" s="30"/>
      <c r="P181" s="30"/>
    </row>
    <row r="182" spans="1:16" ht="30" customHeight="1">
      <c r="A182" s="32"/>
      <c r="O182" s="30"/>
      <c r="P182" s="30"/>
    </row>
    <row r="183" spans="1:16" ht="30" customHeight="1">
      <c r="A183" s="32"/>
      <c r="O183" s="30"/>
      <c r="P183" s="30"/>
    </row>
    <row r="184" spans="1:16" ht="30" customHeight="1">
      <c r="A184" s="32"/>
      <c r="O184" s="30"/>
      <c r="P184" s="30"/>
    </row>
    <row r="185" spans="1:16" ht="30" customHeight="1">
      <c r="A185" s="32"/>
      <c r="O185" s="30"/>
      <c r="P185" s="30"/>
    </row>
    <row r="186" spans="1:16" ht="30" customHeight="1">
      <c r="A186" s="32"/>
      <c r="O186" s="30"/>
      <c r="P186" s="30"/>
    </row>
    <row r="187" spans="1:16" ht="30" customHeight="1">
      <c r="A187" s="32"/>
      <c r="O187" s="30"/>
      <c r="P187" s="30"/>
    </row>
    <row r="188" spans="1:16" ht="30" customHeight="1">
      <c r="A188" s="32"/>
      <c r="O188" s="30"/>
      <c r="P188" s="30"/>
    </row>
    <row r="189" spans="1:16" ht="30" customHeight="1">
      <c r="A189" s="32"/>
      <c r="O189" s="30"/>
      <c r="P189" s="30"/>
    </row>
    <row r="190" spans="1:16" ht="30" customHeight="1">
      <c r="A190" s="32"/>
      <c r="O190" s="30"/>
      <c r="P190" s="30"/>
    </row>
    <row r="191" spans="1:16" ht="30" customHeight="1">
      <c r="A191" s="32"/>
      <c r="O191" s="30"/>
      <c r="P191" s="30"/>
    </row>
    <row r="192" spans="1:16" ht="30" customHeight="1">
      <c r="A192" s="32"/>
      <c r="O192" s="30"/>
      <c r="P192" s="30"/>
    </row>
    <row r="193" spans="1:16" ht="30" customHeight="1">
      <c r="A193" s="32"/>
      <c r="O193" s="30"/>
      <c r="P193" s="30"/>
    </row>
    <row r="194" spans="1:16" ht="30" customHeight="1">
      <c r="A194" s="32"/>
      <c r="O194" s="30"/>
      <c r="P194" s="30"/>
    </row>
    <row r="195" spans="1:16" ht="30" customHeight="1">
      <c r="A195" s="32"/>
      <c r="O195" s="30"/>
      <c r="P195" s="30"/>
    </row>
    <row r="196" spans="1:16" ht="30" customHeight="1">
      <c r="A196" s="32"/>
      <c r="O196" s="30"/>
      <c r="P196" s="30"/>
    </row>
    <row r="197" spans="1:16" ht="30" customHeight="1">
      <c r="A197" s="32"/>
      <c r="O197" s="30"/>
      <c r="P197" s="30"/>
    </row>
    <row r="198" spans="1:16" ht="30" customHeight="1">
      <c r="A198" s="32"/>
      <c r="O198" s="12"/>
      <c r="P198" s="12"/>
    </row>
    <row r="199" spans="1:16" ht="30" customHeight="1">
      <c r="A199" s="32"/>
      <c r="O199" s="12"/>
      <c r="P199" s="12"/>
    </row>
    <row r="200" spans="1:16" ht="30" customHeight="1">
      <c r="A200" s="32"/>
      <c r="O200" s="12"/>
      <c r="P200" s="12"/>
    </row>
    <row r="201" spans="1:16" ht="30" customHeight="1">
      <c r="A201" s="32"/>
      <c r="O201" s="12"/>
      <c r="P201" s="12"/>
    </row>
    <row r="202" spans="1:16" ht="30" customHeight="1">
      <c r="A202" s="32"/>
      <c r="O202" s="12"/>
      <c r="P202" s="12"/>
    </row>
    <row r="203" spans="1:16" ht="30" customHeight="1">
      <c r="A203" s="32"/>
      <c r="O203" s="12"/>
      <c r="P203" s="12"/>
    </row>
    <row r="204" spans="1:16" ht="30" customHeight="1">
      <c r="A204" s="32"/>
      <c r="O204" s="12"/>
      <c r="P204" s="12"/>
    </row>
    <row r="205" spans="1:16" ht="30" customHeight="1">
      <c r="A205" s="32"/>
      <c r="O205" s="12"/>
      <c r="P205" s="12"/>
    </row>
    <row r="206" spans="1:16" ht="30" customHeight="1">
      <c r="A206" s="32"/>
      <c r="O206" s="12"/>
      <c r="P206" s="12"/>
    </row>
    <row r="207" spans="1:16" ht="30" customHeight="1">
      <c r="A207" s="32"/>
      <c r="O207" s="12"/>
      <c r="P207" s="12"/>
    </row>
    <row r="208" spans="1:16" ht="30" customHeight="1">
      <c r="A208" s="32"/>
      <c r="O208" s="12"/>
      <c r="P208" s="12"/>
    </row>
    <row r="209" spans="1:16" ht="30" customHeight="1">
      <c r="A209" s="32"/>
      <c r="O209" s="12"/>
      <c r="P209" s="12"/>
    </row>
    <row r="210" spans="1:16" ht="30" customHeight="1">
      <c r="A210" s="32"/>
      <c r="O210" s="12"/>
      <c r="P210" s="12"/>
    </row>
    <row r="211" spans="1:16" ht="30" customHeight="1">
      <c r="A211" s="32"/>
      <c r="O211" s="12"/>
      <c r="P211" s="12"/>
    </row>
    <row r="212" spans="1:16" ht="30" customHeight="1">
      <c r="A212" s="32"/>
      <c r="O212" s="12"/>
      <c r="P212" s="12"/>
    </row>
    <row r="213" spans="1:16" ht="30" customHeight="1">
      <c r="A213" s="32"/>
      <c r="O213" s="12"/>
      <c r="P213" s="12"/>
    </row>
    <row r="214" spans="1:16" ht="30" customHeight="1">
      <c r="A214" s="32"/>
      <c r="O214" s="12"/>
      <c r="P214" s="12"/>
    </row>
    <row r="215" spans="1:16" ht="30" customHeight="1">
      <c r="A215" s="32"/>
      <c r="O215" s="12"/>
      <c r="P215" s="12"/>
    </row>
    <row r="216" spans="1:16" ht="30" customHeight="1">
      <c r="A216" s="32"/>
      <c r="O216" s="12"/>
      <c r="P216" s="12"/>
    </row>
    <row r="217" spans="1:16" ht="30" customHeight="1">
      <c r="A217" s="32"/>
      <c r="O217" s="12"/>
      <c r="P217" s="12"/>
    </row>
    <row r="218" spans="1:16" ht="30" customHeight="1">
      <c r="A218" s="32"/>
      <c r="O218" s="12"/>
      <c r="P218" s="12"/>
    </row>
    <row r="219" spans="1:16" ht="30" customHeight="1">
      <c r="A219" s="32"/>
      <c r="O219" s="12"/>
      <c r="P219" s="12"/>
    </row>
    <row r="220" spans="1:16" ht="30" customHeight="1">
      <c r="A220" s="32"/>
      <c r="O220" s="12"/>
      <c r="P220" s="12"/>
    </row>
    <row r="221" spans="1:16" ht="30" customHeight="1">
      <c r="A221" s="32"/>
      <c r="O221" s="12"/>
      <c r="P221" s="12"/>
    </row>
    <row r="222" spans="1:16" ht="30" customHeight="1">
      <c r="A222" s="32"/>
      <c r="O222" s="12"/>
      <c r="P222" s="12"/>
    </row>
    <row r="223" spans="1:16" ht="30" customHeight="1">
      <c r="A223" s="32"/>
      <c r="O223" s="12"/>
      <c r="P223" s="12"/>
    </row>
    <row r="224" spans="1:16" ht="30" customHeight="1">
      <c r="A224" s="32"/>
      <c r="O224" s="12"/>
      <c r="P224" s="12"/>
    </row>
    <row r="225" spans="1:16" ht="30" customHeight="1">
      <c r="A225" s="32"/>
      <c r="O225" s="12"/>
      <c r="P225" s="12"/>
    </row>
    <row r="226" spans="1:16" ht="30" customHeight="1">
      <c r="A226" s="32"/>
      <c r="O226" s="12"/>
      <c r="P226" s="12"/>
    </row>
    <row r="227" spans="1:16" ht="30" customHeight="1">
      <c r="A227" s="32"/>
      <c r="O227" s="12"/>
      <c r="P227" s="12"/>
    </row>
    <row r="228" spans="1:16" ht="30" customHeight="1">
      <c r="A228" s="32"/>
      <c r="O228" s="12"/>
      <c r="P228" s="12"/>
    </row>
    <row r="229" spans="1:16" ht="30" customHeight="1">
      <c r="A229" s="32"/>
      <c r="O229" s="12"/>
      <c r="P229" s="12"/>
    </row>
    <row r="230" spans="1:16" ht="30" customHeight="1">
      <c r="A230" s="32"/>
      <c r="O230" s="12"/>
      <c r="P230" s="12"/>
    </row>
    <row r="231" spans="1:16" ht="30" customHeight="1">
      <c r="A231" s="32"/>
      <c r="O231" s="12"/>
      <c r="P231" s="12"/>
    </row>
    <row r="232" spans="1:16" ht="30" customHeight="1">
      <c r="A232" s="32"/>
      <c r="O232" s="12"/>
      <c r="P232" s="12"/>
    </row>
    <row r="233" spans="1:16" ht="30" customHeight="1">
      <c r="A233" s="32"/>
      <c r="O233" s="12"/>
      <c r="P233" s="12"/>
    </row>
    <row r="234" spans="1:16" ht="30" customHeight="1">
      <c r="A234" s="32"/>
      <c r="O234" s="12"/>
      <c r="P234" s="12"/>
    </row>
    <row r="235" spans="1:16" ht="30" customHeight="1">
      <c r="A235" s="32"/>
      <c r="O235" s="12"/>
      <c r="P235" s="12"/>
    </row>
    <row r="236" spans="1:16" ht="30" customHeight="1">
      <c r="A236" s="32"/>
      <c r="O236" s="12"/>
      <c r="P236" s="12"/>
    </row>
    <row r="237" spans="1:16" ht="30" customHeight="1">
      <c r="A237" s="32"/>
      <c r="O237" s="12"/>
      <c r="P237" s="12"/>
    </row>
    <row r="238" spans="1:16" ht="30" customHeight="1">
      <c r="A238" s="32"/>
      <c r="O238" s="12"/>
      <c r="P238" s="12"/>
    </row>
    <row r="239" spans="1:16" ht="30" customHeight="1">
      <c r="A239" s="32"/>
      <c r="O239" s="12"/>
      <c r="P239" s="12"/>
    </row>
    <row r="240" spans="1:16" ht="30" customHeight="1">
      <c r="A240" s="32"/>
      <c r="O240" s="12"/>
      <c r="P240" s="12"/>
    </row>
    <row r="241" spans="1:16" ht="30" customHeight="1">
      <c r="A241" s="32"/>
      <c r="O241" s="12"/>
      <c r="P241" s="12"/>
    </row>
    <row r="242" spans="1:16" ht="30" customHeight="1">
      <c r="A242" s="32"/>
      <c r="O242" s="12"/>
      <c r="P242" s="12"/>
    </row>
    <row r="243" spans="1:16" ht="30" customHeight="1">
      <c r="A243" s="32"/>
      <c r="O243" s="12"/>
      <c r="P243" s="12"/>
    </row>
    <row r="244" spans="1:16" ht="30" customHeight="1">
      <c r="A244" s="32"/>
      <c r="O244" s="12"/>
      <c r="P244" s="12"/>
    </row>
    <row r="245" spans="1:16" ht="30" customHeight="1">
      <c r="A245" s="32"/>
      <c r="O245" s="12"/>
      <c r="P245" s="12"/>
    </row>
    <row r="246" spans="1:16" ht="30" customHeight="1">
      <c r="A246" s="32"/>
      <c r="O246" s="12"/>
      <c r="P246" s="12"/>
    </row>
    <row r="247" spans="1:16" ht="30" customHeight="1">
      <c r="A247" s="32"/>
      <c r="O247" s="12"/>
      <c r="P247" s="12"/>
    </row>
    <row r="248" spans="1:16">
      <c r="A248" s="32"/>
      <c r="O248" s="12"/>
      <c r="P248" s="12"/>
    </row>
    <row r="249" spans="1:16">
      <c r="A249" s="32"/>
      <c r="O249" s="12"/>
      <c r="P249" s="12"/>
    </row>
    <row r="250" spans="1:16">
      <c r="A250" s="32"/>
      <c r="O250" s="12"/>
      <c r="P250" s="12"/>
    </row>
    <row r="251" spans="1:16">
      <c r="A251" s="32"/>
      <c r="O251" s="12"/>
      <c r="P251" s="12"/>
    </row>
    <row r="252" spans="1:16">
      <c r="A252" s="32"/>
      <c r="O252" s="12"/>
      <c r="P252" s="12"/>
    </row>
    <row r="253" spans="1:16">
      <c r="A253" s="32"/>
      <c r="O253" s="12"/>
      <c r="P253" s="12"/>
    </row>
    <row r="254" spans="1:16">
      <c r="A254" s="32"/>
      <c r="O254" s="12"/>
      <c r="P254" s="12"/>
    </row>
    <row r="255" spans="1:16">
      <c r="A255" s="32"/>
      <c r="O255" s="12"/>
      <c r="P255" s="12"/>
    </row>
    <row r="256" spans="1:16">
      <c r="A256" s="32"/>
      <c r="O256" s="12"/>
      <c r="P256" s="12"/>
    </row>
  </sheetData>
  <autoFilter ref="B4:Q26" xr:uid="{00000000-0001-0000-0000-000000000000}">
    <sortState xmlns:xlrd2="http://schemas.microsoft.com/office/spreadsheetml/2017/richdata2" ref="B5:Q40">
      <sortCondition ref="O4:O26"/>
    </sortState>
  </autoFilter>
  <mergeCells count="2">
    <mergeCell ref="B1:Q1"/>
    <mergeCell ref="B2:Q2"/>
  </mergeCells>
  <conditionalFormatting sqref="A5:Q40">
    <cfRule type="expression" dxfId="20" priority="1">
      <formula>$A5="No publicado"</formula>
    </cfRule>
    <cfRule type="expression" dxfId="19" priority="2">
      <formula>$A5="En venta"</formula>
    </cfRule>
    <cfRule type="expression" dxfId="18" priority="3">
      <formula>$A5="Vendido"</formula>
    </cfRule>
  </conditionalFormatting>
  <conditionalFormatting sqref="A44:Q256">
    <cfRule type="expression" dxfId="17" priority="4">
      <formula>$A44="No publicado"</formula>
    </cfRule>
    <cfRule type="expression" dxfId="16" priority="5">
      <formula>$A44="En venta"</formula>
    </cfRule>
    <cfRule type="expression" dxfId="15" priority="6">
      <formula>$A44="Vendido"</formula>
    </cfRule>
  </conditionalFormatting>
  <dataValidations count="1">
    <dataValidation type="list" allowBlank="1" showInputMessage="1" showErrorMessage="1" errorTitle="Valor no válido" error="Solo se permite: No publicado, En venta o Vendido." promptTitle="Estado stock" prompt="Elige: No publicado, En venta o Vendido." sqref="A44:A256 A5:A40" xr:uid="{F9907D43-E24B-4EFD-B7A7-3D4FA43E0738}">
      <formula1>"No publicado,En venta,Vendido"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B4633-C12F-404A-A3C6-44386E859AB8}">
  <dimension ref="A1:P29"/>
  <sheetViews>
    <sheetView zoomScale="80" zoomScaleNormal="80" workbookViewId="0">
      <selection activeCell="C16" sqref="C16"/>
    </sheetView>
  </sheetViews>
  <sheetFormatPr defaultColWidth="11" defaultRowHeight="13.5"/>
  <cols>
    <col min="1" max="1" width="15.25" style="76" bestFit="1" customWidth="1"/>
    <col min="2" max="2" width="48.75" style="76" bestFit="1" customWidth="1"/>
    <col min="3" max="3" width="11.375" style="76" customWidth="1"/>
    <col min="4" max="4" width="16.375" style="76" bestFit="1" customWidth="1"/>
    <col min="5" max="6" width="11" style="76"/>
    <col min="7" max="7" width="10.875" style="76" bestFit="1" customWidth="1"/>
    <col min="8" max="15" width="11" style="76"/>
    <col min="16" max="16" width="35.625" style="76" bestFit="1" customWidth="1"/>
    <col min="17" max="16384" width="11" style="76"/>
  </cols>
  <sheetData>
    <row r="1" spans="1:16">
      <c r="A1" s="76" t="s">
        <v>74</v>
      </c>
    </row>
    <row r="4" spans="1:16" ht="65.25">
      <c r="A4" s="36" t="s">
        <v>2</v>
      </c>
      <c r="B4" s="61" t="s">
        <v>3</v>
      </c>
      <c r="C4" s="61" t="s">
        <v>4</v>
      </c>
      <c r="D4" s="61" t="s">
        <v>5</v>
      </c>
      <c r="E4" s="61" t="s">
        <v>6</v>
      </c>
      <c r="F4" s="61" t="s">
        <v>7</v>
      </c>
      <c r="G4" s="61" t="s">
        <v>8</v>
      </c>
      <c r="H4" s="61" t="s">
        <v>9</v>
      </c>
      <c r="I4" s="61" t="s">
        <v>10</v>
      </c>
      <c r="J4" s="61" t="s">
        <v>11</v>
      </c>
      <c r="K4" s="61" t="s">
        <v>12</v>
      </c>
      <c r="L4" s="61" t="s">
        <v>13</v>
      </c>
      <c r="M4" s="61" t="s">
        <v>14</v>
      </c>
      <c r="N4" s="61" t="s">
        <v>15</v>
      </c>
      <c r="O4" s="61" t="s">
        <v>16</v>
      </c>
      <c r="P4" s="61" t="s">
        <v>18</v>
      </c>
    </row>
    <row r="5" spans="1:16" ht="18">
      <c r="A5" s="36" t="s">
        <v>19</v>
      </c>
      <c r="B5" s="67" t="s">
        <v>75</v>
      </c>
      <c r="C5" s="49">
        <v>8</v>
      </c>
      <c r="D5" s="49">
        <f>F5*C5</f>
        <v>8</v>
      </c>
      <c r="E5" s="60">
        <v>4.49</v>
      </c>
      <c r="F5" s="50">
        <v>1</v>
      </c>
      <c r="G5" s="49">
        <f>IFERROR(E5/F5,"")</f>
        <v>4.49</v>
      </c>
      <c r="H5" s="49">
        <f>C5-G5</f>
        <v>3.51</v>
      </c>
      <c r="I5" s="51">
        <f t="shared" ref="I5:I10" si="0">(C5-G5)/C5</f>
        <v>0.43874999999999997</v>
      </c>
      <c r="J5" s="49">
        <f>D5-E5</f>
        <v>3.51</v>
      </c>
      <c r="K5" s="52">
        <v>0</v>
      </c>
      <c r="L5" s="53">
        <f>C5*K5</f>
        <v>0</v>
      </c>
      <c r="M5" s="53">
        <f>K5*G5</f>
        <v>0</v>
      </c>
      <c r="N5" s="53">
        <f>H5*K5</f>
        <v>0</v>
      </c>
      <c r="O5" s="69">
        <f>K5/F5</f>
        <v>0</v>
      </c>
      <c r="P5" s="52"/>
    </row>
    <row r="6" spans="1:16" ht="18">
      <c r="A6" s="36" t="s">
        <v>19</v>
      </c>
      <c r="B6" s="67" t="s">
        <v>76</v>
      </c>
      <c r="C6" s="49">
        <v>31</v>
      </c>
      <c r="D6" s="49">
        <f>F6*C6</f>
        <v>31</v>
      </c>
      <c r="E6" s="60">
        <v>21</v>
      </c>
      <c r="F6" s="50">
        <v>1</v>
      </c>
      <c r="G6" s="49">
        <f>IFERROR(E6/F6,"")</f>
        <v>21</v>
      </c>
      <c r="H6" s="49">
        <f>C6-G6</f>
        <v>10</v>
      </c>
      <c r="I6" s="51">
        <f t="shared" si="0"/>
        <v>0.32258064516129031</v>
      </c>
      <c r="J6" s="49">
        <f>D6-E6</f>
        <v>10</v>
      </c>
      <c r="K6" s="52">
        <v>0</v>
      </c>
      <c r="L6" s="53">
        <f>C6*K6</f>
        <v>0</v>
      </c>
      <c r="M6" s="53">
        <f>K6*G6</f>
        <v>0</v>
      </c>
      <c r="N6" s="53">
        <f>H6*K6</f>
        <v>0</v>
      </c>
      <c r="O6" s="69">
        <f>K6/F6</f>
        <v>0</v>
      </c>
      <c r="P6" s="52"/>
    </row>
    <row r="7" spans="1:16" ht="18">
      <c r="A7" s="64" t="s">
        <v>21</v>
      </c>
      <c r="B7" s="64" t="s">
        <v>31</v>
      </c>
      <c r="C7" s="44">
        <v>25</v>
      </c>
      <c r="D7" s="44">
        <f>F7*C7</f>
        <v>25</v>
      </c>
      <c r="E7" s="44">
        <v>11.222222222222221</v>
      </c>
      <c r="F7" s="45">
        <v>1</v>
      </c>
      <c r="G7" s="44">
        <f>IFERROR(E7/F7,"")</f>
        <v>11.222222222222221</v>
      </c>
      <c r="H7" s="44">
        <f>C7-G7</f>
        <v>13.777777777777779</v>
      </c>
      <c r="I7" s="46">
        <f t="shared" si="0"/>
        <v>0.55111111111111111</v>
      </c>
      <c r="J7" s="44">
        <f>D7-E7</f>
        <v>13.777777777777779</v>
      </c>
      <c r="K7" s="47">
        <v>0</v>
      </c>
      <c r="L7" s="48">
        <f>C7*K7</f>
        <v>0</v>
      </c>
      <c r="M7" s="48">
        <f>K7*G7</f>
        <v>0</v>
      </c>
      <c r="N7" s="48">
        <f>H7*K7</f>
        <v>0</v>
      </c>
      <c r="O7" s="65">
        <f>K7/F7</f>
        <v>0</v>
      </c>
      <c r="P7" s="47"/>
    </row>
    <row r="8" spans="1:16" ht="18">
      <c r="A8" s="67" t="s">
        <v>21</v>
      </c>
      <c r="B8" s="64" t="s">
        <v>37</v>
      </c>
      <c r="C8" s="44">
        <v>2</v>
      </c>
      <c r="D8" s="44">
        <f>F8*C8</f>
        <v>2</v>
      </c>
      <c r="E8" s="44">
        <v>1.26</v>
      </c>
      <c r="F8" s="45">
        <v>1</v>
      </c>
      <c r="G8" s="44">
        <f>IFERROR(E8/F8,"")</f>
        <v>1.26</v>
      </c>
      <c r="H8" s="44">
        <f>C8-G8</f>
        <v>0.74</v>
      </c>
      <c r="I8" s="46">
        <f t="shared" si="0"/>
        <v>0.37</v>
      </c>
      <c r="J8" s="44">
        <f>D8-E8</f>
        <v>0.74</v>
      </c>
      <c r="K8" s="47">
        <v>0</v>
      </c>
      <c r="L8" s="48">
        <f>C8*K8</f>
        <v>0</v>
      </c>
      <c r="M8" s="48">
        <f>K8*G8</f>
        <v>0</v>
      </c>
      <c r="N8" s="48">
        <f>H8*K8</f>
        <v>0</v>
      </c>
      <c r="O8" s="65">
        <f>K8/F8</f>
        <v>0</v>
      </c>
      <c r="P8" s="47"/>
    </row>
    <row r="9" spans="1:16" ht="33">
      <c r="A9" s="67" t="s">
        <v>21</v>
      </c>
      <c r="B9" s="64" t="s">
        <v>32</v>
      </c>
      <c r="C9" s="44">
        <v>20</v>
      </c>
      <c r="D9" s="44">
        <f>F9*C9</f>
        <v>20</v>
      </c>
      <c r="E9" s="44">
        <v>11.23</v>
      </c>
      <c r="F9" s="45">
        <v>1</v>
      </c>
      <c r="G9" s="44">
        <f>IFERROR(E9/F9,"")</f>
        <v>11.23</v>
      </c>
      <c r="H9" s="44">
        <f>C9-G9</f>
        <v>8.77</v>
      </c>
      <c r="I9" s="46">
        <f t="shared" si="0"/>
        <v>0.4385</v>
      </c>
      <c r="J9" s="44">
        <f>D9-E9</f>
        <v>8.77</v>
      </c>
      <c r="K9" s="47">
        <v>0</v>
      </c>
      <c r="L9" s="48">
        <f>C9*K9</f>
        <v>0</v>
      </c>
      <c r="M9" s="48">
        <f>K9*G9</f>
        <v>0</v>
      </c>
      <c r="N9" s="48">
        <f>H9*K9</f>
        <v>0</v>
      </c>
      <c r="O9" s="65">
        <f>K9/F9</f>
        <v>0</v>
      </c>
      <c r="P9" s="47" t="s">
        <v>61</v>
      </c>
    </row>
    <row r="10" spans="1:16" ht="18">
      <c r="A10" s="64" t="s">
        <v>19</v>
      </c>
      <c r="B10" s="62" t="s">
        <v>25</v>
      </c>
      <c r="C10" s="38">
        <v>65</v>
      </c>
      <c r="D10" s="38">
        <f t="shared" ref="D10" si="1">F10*C10</f>
        <v>65</v>
      </c>
      <c r="E10" s="39">
        <v>44.52</v>
      </c>
      <c r="F10" s="40">
        <v>1</v>
      </c>
      <c r="G10" s="38">
        <f t="shared" ref="G10" si="2">IFERROR(E10/F10,"")</f>
        <v>44.52</v>
      </c>
      <c r="H10" s="38">
        <f t="shared" ref="H10" si="3">C10-G10</f>
        <v>20.479999999999997</v>
      </c>
      <c r="I10" s="41">
        <f t="shared" si="0"/>
        <v>0.31507692307692303</v>
      </c>
      <c r="J10" s="38">
        <f t="shared" ref="J10" si="4">D10-E10</f>
        <v>20.479999999999997</v>
      </c>
      <c r="K10" s="42">
        <v>0</v>
      </c>
      <c r="L10" s="43">
        <f t="shared" ref="L10" si="5">C10*K10</f>
        <v>0</v>
      </c>
      <c r="M10" s="43">
        <f t="shared" ref="M10" si="6">K10*G10</f>
        <v>0</v>
      </c>
      <c r="N10" s="43">
        <f t="shared" ref="N10" si="7">H10*K10</f>
        <v>0</v>
      </c>
      <c r="O10" s="63">
        <f t="shared" ref="O10" si="8">K10/F10</f>
        <v>0</v>
      </c>
      <c r="P10" s="42"/>
    </row>
    <row r="11" spans="1:16" ht="18">
      <c r="A11" s="64" t="s">
        <v>19</v>
      </c>
      <c r="B11" s="62" t="s">
        <v>77</v>
      </c>
      <c r="C11" s="38">
        <v>30</v>
      </c>
      <c r="D11" s="38">
        <f t="shared" ref="D11" si="9">F11*C11</f>
        <v>30</v>
      </c>
      <c r="E11" s="39">
        <v>25.72</v>
      </c>
      <c r="F11" s="40">
        <v>1</v>
      </c>
      <c r="G11" s="38">
        <f t="shared" ref="G11" si="10">IFERROR(E11/F11,"")</f>
        <v>25.72</v>
      </c>
      <c r="H11" s="38">
        <f t="shared" ref="H11" si="11">C11-G11</f>
        <v>4.2800000000000011</v>
      </c>
      <c r="I11" s="41">
        <f t="shared" ref="I11" si="12">(C11-G11)/C11</f>
        <v>0.14266666666666669</v>
      </c>
      <c r="J11" s="38">
        <f t="shared" ref="J11" si="13">D11-E11</f>
        <v>4.2800000000000011</v>
      </c>
      <c r="K11" s="42">
        <v>0</v>
      </c>
      <c r="L11" s="43">
        <f t="shared" ref="L11" si="14">C11*K11</f>
        <v>0</v>
      </c>
      <c r="M11" s="43">
        <f t="shared" ref="M11" si="15">K11*G11</f>
        <v>0</v>
      </c>
      <c r="N11" s="43">
        <f t="shared" ref="N11" si="16">H11*K11</f>
        <v>0</v>
      </c>
      <c r="O11" s="63">
        <f t="shared" ref="O11" si="17">K11/F11</f>
        <v>0</v>
      </c>
      <c r="P11" s="42"/>
    </row>
    <row r="12" spans="1:16">
      <c r="C12" s="77">
        <f>SUM(C5:C11)</f>
        <v>181</v>
      </c>
    </row>
    <row r="13" spans="1:16" ht="18">
      <c r="C13" s="77" t="s">
        <v>78</v>
      </c>
      <c r="D13" s="78" t="s">
        <v>79</v>
      </c>
      <c r="E13" s="78" t="s">
        <v>80</v>
      </c>
      <c r="G13" s="77" t="s">
        <v>81</v>
      </c>
      <c r="J13" s="75" t="s">
        <v>82</v>
      </c>
    </row>
    <row r="14" spans="1:16">
      <c r="C14" s="77">
        <v>160</v>
      </c>
      <c r="D14" s="78">
        <f>(C14-G14)/C14</f>
        <v>0.25348611111111108</v>
      </c>
      <c r="E14" s="78">
        <f>(C14/G14)-1</f>
        <v>0.33955980576382805</v>
      </c>
      <c r="G14" s="77">
        <f>SUM(G5:G11)</f>
        <v>119.44222222222223</v>
      </c>
      <c r="J14" s="77">
        <f>C14-G14</f>
        <v>40.557777777777773</v>
      </c>
    </row>
    <row r="16" spans="1:16" ht="24.75" customHeight="1">
      <c r="A16" s="67" t="s">
        <v>21</v>
      </c>
      <c r="B16" s="64" t="s">
        <v>32</v>
      </c>
      <c r="C16" s="44">
        <v>16</v>
      </c>
      <c r="D16" s="44">
        <f>F16*C16</f>
        <v>16</v>
      </c>
      <c r="E16" s="44">
        <v>11.23</v>
      </c>
      <c r="F16" s="45">
        <v>1</v>
      </c>
      <c r="G16" s="44">
        <f>IFERROR(E16/F16,"")</f>
        <v>11.23</v>
      </c>
      <c r="H16" s="44">
        <f>C16-G16</f>
        <v>4.7699999999999996</v>
      </c>
      <c r="I16" s="46">
        <f>(C16-G16)/C16</f>
        <v>0.29812499999999997</v>
      </c>
      <c r="J16" s="44">
        <f>D16-E16</f>
        <v>4.7699999999999996</v>
      </c>
      <c r="K16" s="47">
        <v>0</v>
      </c>
      <c r="L16" s="48">
        <f>C16*K16</f>
        <v>0</v>
      </c>
      <c r="M16" s="48">
        <f>K16*G16</f>
        <v>0</v>
      </c>
      <c r="N16" s="48">
        <f>H16*K16</f>
        <v>0</v>
      </c>
      <c r="O16" s="65">
        <f>K16/F16</f>
        <v>0</v>
      </c>
      <c r="P16" s="47" t="s">
        <v>61</v>
      </c>
    </row>
    <row r="17" spans="1:16" ht="18">
      <c r="A17" s="64" t="s">
        <v>19</v>
      </c>
      <c r="B17" s="62" t="s">
        <v>77</v>
      </c>
      <c r="C17" s="38">
        <v>30</v>
      </c>
      <c r="D17" s="38">
        <f t="shared" ref="D17" si="18">F17*C17</f>
        <v>30</v>
      </c>
      <c r="E17" s="39">
        <v>23.64</v>
      </c>
      <c r="F17" s="40">
        <v>1</v>
      </c>
      <c r="G17" s="38">
        <f t="shared" ref="G17" si="19">IFERROR(E17/F17,"")</f>
        <v>23.64</v>
      </c>
      <c r="H17" s="38">
        <f t="shared" ref="H17" si="20">C17-G17</f>
        <v>6.3599999999999994</v>
      </c>
      <c r="I17" s="41">
        <f t="shared" ref="I17" si="21">(C17-G17)/C17</f>
        <v>0.21199999999999999</v>
      </c>
      <c r="J17" s="38">
        <f t="shared" ref="J17" si="22">D17-E17</f>
        <v>6.3599999999999994</v>
      </c>
      <c r="K17" s="42">
        <v>0</v>
      </c>
      <c r="L17" s="43">
        <f t="shared" ref="L17" si="23">C17*K17</f>
        <v>0</v>
      </c>
      <c r="M17" s="43">
        <f t="shared" ref="M17" si="24">K17*G17</f>
        <v>0</v>
      </c>
      <c r="N17" s="43">
        <f t="shared" ref="N17" si="25">H17*K17</f>
        <v>0</v>
      </c>
      <c r="O17" s="63">
        <f t="shared" ref="O17" si="26">K17/F17</f>
        <v>0</v>
      </c>
      <c r="P17" s="42">
        <v>30</v>
      </c>
    </row>
    <row r="18" spans="1:16" ht="18">
      <c r="E18" s="39">
        <v>25.72</v>
      </c>
    </row>
    <row r="19" spans="1:16">
      <c r="C19" s="77">
        <f>SUM(C16:C17)</f>
        <v>46</v>
      </c>
      <c r="D19" s="78">
        <f>(C19-G19)/C19</f>
        <v>0.24195652173913035</v>
      </c>
      <c r="E19" s="78">
        <f>(C19/G19)-1</f>
        <v>0.31918554631488361</v>
      </c>
      <c r="G19" s="77">
        <f>SUM(G16:G17)</f>
        <v>34.870000000000005</v>
      </c>
      <c r="J19" s="77">
        <f>SUM(J16:J17)</f>
        <v>11.129999999999999</v>
      </c>
    </row>
    <row r="21" spans="1:16" ht="18">
      <c r="A21" s="36"/>
      <c r="B21" s="67"/>
      <c r="C21" s="49"/>
      <c r="D21" s="49"/>
      <c r="E21" s="60"/>
      <c r="F21" s="50"/>
      <c r="G21" s="49"/>
      <c r="H21" s="49"/>
      <c r="I21" s="51"/>
      <c r="J21" s="49"/>
      <c r="K21" s="52"/>
      <c r="L21" s="53"/>
      <c r="M21" s="53"/>
      <c r="N21" s="53"/>
      <c r="O21" s="69"/>
      <c r="P21" s="52"/>
    </row>
    <row r="22" spans="1:16" ht="18">
      <c r="A22" s="67" t="s">
        <v>21</v>
      </c>
      <c r="B22" s="64" t="s">
        <v>37</v>
      </c>
      <c r="C22" s="44">
        <v>0</v>
      </c>
      <c r="D22" s="44">
        <f>F22*C22</f>
        <v>0</v>
      </c>
      <c r="E22" s="44">
        <v>1.26</v>
      </c>
      <c r="F22" s="45">
        <v>1</v>
      </c>
      <c r="G22" s="44">
        <f>IFERROR(E22/F22,"")</f>
        <v>1.26</v>
      </c>
      <c r="H22" s="44">
        <f>C22-G22</f>
        <v>-1.26</v>
      </c>
      <c r="I22" s="46" t="e">
        <f t="shared" ref="I22" si="27">(C22-G22)/C22</f>
        <v>#DIV/0!</v>
      </c>
      <c r="J22" s="44">
        <f>D22-E22</f>
        <v>-1.26</v>
      </c>
      <c r="K22" s="47">
        <v>0</v>
      </c>
      <c r="L22" s="48">
        <f>C22*K22</f>
        <v>0</v>
      </c>
      <c r="M22" s="48">
        <f>K22*G22</f>
        <v>0</v>
      </c>
      <c r="N22" s="48">
        <f>H22*K22</f>
        <v>0</v>
      </c>
      <c r="O22" s="65">
        <f>K22/F22</f>
        <v>0</v>
      </c>
      <c r="P22" s="47"/>
    </row>
    <row r="23" spans="1:16" ht="18">
      <c r="A23" s="64" t="s">
        <v>21</v>
      </c>
      <c r="B23" s="64" t="s">
        <v>31</v>
      </c>
      <c r="C23" s="44">
        <v>25</v>
      </c>
      <c r="D23" s="44">
        <f>F23*C23</f>
        <v>25</v>
      </c>
      <c r="E23" s="44">
        <v>11.222222222222221</v>
      </c>
      <c r="F23" s="45">
        <v>1</v>
      </c>
      <c r="G23" s="44">
        <f>IFERROR(E23/F23,"")</f>
        <v>11.222222222222221</v>
      </c>
      <c r="H23" s="44">
        <f>C23-G23</f>
        <v>13.777777777777779</v>
      </c>
      <c r="I23" s="46">
        <f>(C23-G23)/C23</f>
        <v>0.55111111111111111</v>
      </c>
      <c r="J23" s="44">
        <f>D23-E23</f>
        <v>13.777777777777779</v>
      </c>
      <c r="K23" s="47">
        <v>0</v>
      </c>
      <c r="L23" s="48">
        <f>C23*K23</f>
        <v>0</v>
      </c>
      <c r="M23" s="48">
        <f>K23*G23</f>
        <v>0</v>
      </c>
      <c r="N23" s="48">
        <f>H23*K23</f>
        <v>0</v>
      </c>
      <c r="O23" s="65">
        <f>K23/F23</f>
        <v>0</v>
      </c>
      <c r="P23" s="47"/>
    </row>
    <row r="24" spans="1:16" ht="33">
      <c r="A24" s="67" t="s">
        <v>21</v>
      </c>
      <c r="B24" s="64" t="s">
        <v>32</v>
      </c>
      <c r="C24" s="44">
        <v>16</v>
      </c>
      <c r="D24" s="44">
        <f>F24*C24</f>
        <v>16</v>
      </c>
      <c r="E24" s="44">
        <v>11.23</v>
      </c>
      <c r="F24" s="45">
        <v>1</v>
      </c>
      <c r="G24" s="44">
        <f>IFERROR(E24/F24,"")</f>
        <v>11.23</v>
      </c>
      <c r="H24" s="44">
        <f>C24-G24</f>
        <v>4.7699999999999996</v>
      </c>
      <c r="I24" s="46">
        <f>(C24-G24)/C24</f>
        <v>0.29812499999999997</v>
      </c>
      <c r="J24" s="44">
        <f>D24-E24</f>
        <v>4.7699999999999996</v>
      </c>
      <c r="K24" s="47">
        <v>0</v>
      </c>
      <c r="L24" s="48">
        <f>C24*K24</f>
        <v>0</v>
      </c>
      <c r="M24" s="48">
        <f>K24*G24</f>
        <v>0</v>
      </c>
      <c r="N24" s="48">
        <f>H24*K24</f>
        <v>0</v>
      </c>
      <c r="O24" s="65">
        <f>K24/F24</f>
        <v>0</v>
      </c>
      <c r="P24" s="47" t="s">
        <v>61</v>
      </c>
    </row>
    <row r="25" spans="1:16" ht="18">
      <c r="A25" s="64" t="s">
        <v>19</v>
      </c>
      <c r="B25" s="62" t="s">
        <v>77</v>
      </c>
      <c r="C25" s="38">
        <v>30</v>
      </c>
      <c r="D25" s="38">
        <f>F25*C25</f>
        <v>30</v>
      </c>
      <c r="E25" s="39">
        <v>25.72</v>
      </c>
      <c r="F25" s="40">
        <v>1</v>
      </c>
      <c r="G25" s="38">
        <f>IFERROR(E25/F25,"")</f>
        <v>25.72</v>
      </c>
      <c r="H25" s="38">
        <f>C25-G25</f>
        <v>4.2800000000000011</v>
      </c>
      <c r="I25" s="41">
        <f>(C25-G25)/C25</f>
        <v>0.14266666666666669</v>
      </c>
      <c r="J25" s="38">
        <f>D25-E25</f>
        <v>4.2800000000000011</v>
      </c>
      <c r="K25" s="42">
        <v>0</v>
      </c>
      <c r="L25" s="43">
        <f>C25*K25</f>
        <v>0</v>
      </c>
      <c r="M25" s="43">
        <f>K25*G25</f>
        <v>0</v>
      </c>
      <c r="N25" s="43">
        <f>H25*K25</f>
        <v>0</v>
      </c>
      <c r="O25" s="63">
        <f>K25/F25</f>
        <v>0</v>
      </c>
      <c r="P25" s="42"/>
    </row>
    <row r="28" spans="1:16">
      <c r="C28" s="76" t="s">
        <v>78</v>
      </c>
      <c r="D28" s="76" t="s">
        <v>79</v>
      </c>
      <c r="E28" s="76" t="s">
        <v>80</v>
      </c>
      <c r="G28" s="76" t="s">
        <v>81</v>
      </c>
      <c r="J28" s="76" t="s">
        <v>82</v>
      </c>
    </row>
    <row r="29" spans="1:16">
      <c r="C29" s="77">
        <f>SUM(C22:C25)</f>
        <v>71</v>
      </c>
      <c r="D29" s="78">
        <f>(C29-G29)/C29</f>
        <v>0.30377151799687013</v>
      </c>
      <c r="E29" s="78">
        <f>(C29/G29)-1</f>
        <v>0.43631009912562657</v>
      </c>
      <c r="G29" s="77">
        <f>SUM(G21:G25)</f>
        <v>49.432222222222222</v>
      </c>
      <c r="J29" s="77">
        <f>C29-G29</f>
        <v>21.567777777777778</v>
      </c>
    </row>
  </sheetData>
  <conditionalFormatting sqref="A5:P11">
    <cfRule type="expression" dxfId="14" priority="19">
      <formula>$A5="No publicado"</formula>
    </cfRule>
    <cfRule type="expression" dxfId="13" priority="20">
      <formula>$A5="En venta"</formula>
    </cfRule>
    <cfRule type="expression" dxfId="12" priority="21">
      <formula>$A5="Vendido"</formula>
    </cfRule>
  </conditionalFormatting>
  <conditionalFormatting sqref="A16:P16 A17:D17 F17:P17">
    <cfRule type="expression" dxfId="11" priority="13">
      <formula>$A16="No publicado"</formula>
    </cfRule>
    <cfRule type="expression" dxfId="10" priority="14">
      <formula>$A16="En venta"</formula>
    </cfRule>
    <cfRule type="expression" dxfId="9" priority="15">
      <formula>$A16="Vendido"</formula>
    </cfRule>
  </conditionalFormatting>
  <conditionalFormatting sqref="A21:P25">
    <cfRule type="expression" dxfId="8" priority="4">
      <formula>$A21="No publicado"</formula>
    </cfRule>
    <cfRule type="expression" dxfId="7" priority="5">
      <formula>$A21="En venta"</formula>
    </cfRule>
    <cfRule type="expression" dxfId="6" priority="6">
      <formula>$A21="Vendido"</formula>
    </cfRule>
  </conditionalFormatting>
  <conditionalFormatting sqref="E17:E18">
    <cfRule type="expression" dxfId="5" priority="1">
      <formula>$A17="No publicado"</formula>
    </cfRule>
    <cfRule type="expression" dxfId="4" priority="2">
      <formula>$A17="En venta"</formula>
    </cfRule>
    <cfRule type="expression" dxfId="3" priority="3">
      <formula>$A17="Vendido"</formula>
    </cfRule>
  </conditionalFormatting>
  <conditionalFormatting sqref="J13">
    <cfRule type="expression" dxfId="2" priority="25">
      <formula>$A12="No publicado"</formula>
    </cfRule>
    <cfRule type="expression" dxfId="1" priority="26">
      <formula>$A12="En venta"</formula>
    </cfRule>
    <cfRule type="expression" dxfId="0" priority="27">
      <formula>$A12="Vendido"</formula>
    </cfRule>
  </conditionalFormatting>
  <dataValidations count="1">
    <dataValidation type="list" allowBlank="1" showInputMessage="1" showErrorMessage="1" errorTitle="Valor no válido" error="Solo se permite: No publicado, En venta o Vendido." promptTitle="Estado stock" prompt="Elige: No publicado, En venta o Vendido." sqref="A5:A11 A16:A17 A21:A25" xr:uid="{F9907D43-E24B-4EFD-B7A7-3D4FA43E0738}">
      <formula1>"No publicado,En venta,Vendido"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6684E-4FC5-420B-977C-638C3E0E8319}">
  <dimension ref="A1:O12"/>
  <sheetViews>
    <sheetView workbookViewId="0">
      <selection activeCell="A5" sqref="A4:O5"/>
    </sheetView>
  </sheetViews>
  <sheetFormatPr defaultColWidth="10.75" defaultRowHeight="15"/>
  <sheetData>
    <row r="1" spans="1:15" ht="51.75">
      <c r="A1" s="6" t="s">
        <v>3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</row>
    <row r="2" spans="1:15">
      <c r="M2" s="35">
        <f>SUM(M3:M174)</f>
        <v>-51.959999999999958</v>
      </c>
    </row>
    <row r="3" spans="1:15" ht="18.75">
      <c r="A3" s="21" t="s">
        <v>83</v>
      </c>
      <c r="B3" s="22">
        <v>1E-14</v>
      </c>
      <c r="C3" s="22">
        <f>E3*B3</f>
        <v>1E-14</v>
      </c>
      <c r="D3" s="28">
        <f>18.28</f>
        <v>18.28</v>
      </c>
      <c r="E3" s="23">
        <v>1</v>
      </c>
      <c r="F3" s="22">
        <f>IFERROR(D3/E3,"")</f>
        <v>18.28</v>
      </c>
      <c r="G3" s="22">
        <f>B3-F3</f>
        <v>-18.27999999999999</v>
      </c>
      <c r="H3" s="24">
        <v>0</v>
      </c>
      <c r="I3" s="22">
        <f>C3-D3</f>
        <v>-18.27999999999999</v>
      </c>
      <c r="J3" s="25">
        <v>1</v>
      </c>
      <c r="K3" s="26">
        <f>B3*J3</f>
        <v>1E-14</v>
      </c>
      <c r="L3" s="26">
        <f>J3*F3</f>
        <v>18.28</v>
      </c>
      <c r="M3" s="26">
        <f>G3*J3</f>
        <v>-18.27999999999999</v>
      </c>
      <c r="N3" s="29">
        <f>J3/E3</f>
        <v>1</v>
      </c>
      <c r="O3" s="27"/>
    </row>
    <row r="4" spans="1:15" ht="18.75">
      <c r="A4" s="21" t="s">
        <v>84</v>
      </c>
      <c r="B4" s="22">
        <v>1E-14</v>
      </c>
      <c r="C4" s="22">
        <f>E4*B4</f>
        <v>2E-14</v>
      </c>
      <c r="D4" s="28">
        <f>9.15+9.59</f>
        <v>18.740000000000002</v>
      </c>
      <c r="E4" s="23">
        <v>2</v>
      </c>
      <c r="F4" s="22">
        <f>IFERROR(D4/E4,"")</f>
        <v>9.370000000000001</v>
      </c>
      <c r="G4" s="22">
        <f>B4-F4</f>
        <v>-9.3699999999999903</v>
      </c>
      <c r="H4" s="24">
        <v>0</v>
      </c>
      <c r="I4" s="22">
        <f>C4-D4</f>
        <v>-18.739999999999981</v>
      </c>
      <c r="J4" s="25">
        <v>2</v>
      </c>
      <c r="K4" s="26">
        <f>B4*J4</f>
        <v>2E-14</v>
      </c>
      <c r="L4" s="26">
        <f>J4*F4</f>
        <v>18.740000000000002</v>
      </c>
      <c r="M4" s="26">
        <f>G4*J4</f>
        <v>-18.739999999999981</v>
      </c>
      <c r="N4" s="29">
        <f>J4/E4</f>
        <v>1</v>
      </c>
      <c r="O4" s="27"/>
    </row>
    <row r="5" spans="1:15" ht="18.75">
      <c r="A5" s="21" t="s">
        <v>85</v>
      </c>
      <c r="B5" s="22">
        <v>1E-14</v>
      </c>
      <c r="C5" s="22">
        <f>E5*B5</f>
        <v>1E-14</v>
      </c>
      <c r="D5" s="28">
        <v>14.94</v>
      </c>
      <c r="E5" s="23">
        <v>1</v>
      </c>
      <c r="F5" s="22">
        <f>IFERROR(D5/E5,"")</f>
        <v>14.94</v>
      </c>
      <c r="G5" s="22">
        <f>B5-F5</f>
        <v>-14.939999999999989</v>
      </c>
      <c r="H5" s="24">
        <v>0</v>
      </c>
      <c r="I5" s="22">
        <f>C5-D5</f>
        <v>-14.939999999999989</v>
      </c>
      <c r="J5" s="25">
        <v>1</v>
      </c>
      <c r="K5" s="26">
        <f>B5*J5</f>
        <v>1E-14</v>
      </c>
      <c r="L5" s="26">
        <f>J5*F5</f>
        <v>14.94</v>
      </c>
      <c r="M5" s="26">
        <f>G5*J5</f>
        <v>-14.939999999999989</v>
      </c>
      <c r="N5" s="29">
        <f>J5/E5</f>
        <v>1</v>
      </c>
      <c r="O5" s="27"/>
    </row>
    <row r="12" spans="1:15">
      <c r="D12" s="34"/>
    </row>
  </sheetData>
  <conditionalFormatting sqref="I3:I5">
    <cfRule type="dataBar" priority="1">
      <dataBar>
        <cfvo type="min"/>
        <cfvo type="max"/>
        <color rgb="FF93C5FD"/>
      </dataBar>
    </cfRule>
    <cfRule type="dataBar" priority="2">
      <dataBar>
        <cfvo type="min"/>
        <cfvo type="max"/>
        <color rgb="FF93C5FD"/>
      </dataBar>
      <extLst>
        <ext xmlns:x14="http://schemas.microsoft.com/office/spreadsheetml/2009/9/main" uri="{B025F937-C7B1-47D3-B67F-A62EFF666E3E}">
          <x14:id>{69519588-D075-451B-A09C-E0200E5FA3D2}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519588-D075-451B-A09C-E0200E5FA3D2}">
            <x14:dataBar>
              <x14:cfvo type="min"/>
              <x14:cfvo type="max"/>
              <x14:negativeFillColor auto="1"/>
              <x14:axisColor auto="1"/>
            </x14:dataBar>
          </x14:cfRule>
          <xm:sqref>I3:I5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3CC99-0F1C-4494-94C3-34E0FFF7971C}">
  <dimension ref="A1:B37"/>
  <sheetViews>
    <sheetView workbookViewId="0">
      <selection activeCell="A10" sqref="A10"/>
    </sheetView>
  </sheetViews>
  <sheetFormatPr defaultColWidth="10.75" defaultRowHeight="15"/>
  <sheetData>
    <row r="1" spans="1:2">
      <c r="A1" s="79">
        <v>2088.46</v>
      </c>
      <c r="B1">
        <f>SUM(A1:A37)</f>
        <v>400.75000000000028</v>
      </c>
    </row>
    <row r="2" spans="1:2">
      <c r="A2" s="79">
        <v>614.47</v>
      </c>
    </row>
    <row r="3" spans="1:2">
      <c r="A3" s="79">
        <v>74.08</v>
      </c>
    </row>
    <row r="4" spans="1:2">
      <c r="A4" s="79">
        <v>62.13</v>
      </c>
    </row>
    <row r="5" spans="1:2">
      <c r="A5" s="79">
        <v>57.05</v>
      </c>
    </row>
    <row r="6" spans="1:2">
      <c r="A6" s="79">
        <v>40.06</v>
      </c>
    </row>
    <row r="7" spans="1:2">
      <c r="A7" s="79">
        <v>10.25</v>
      </c>
    </row>
    <row r="8" spans="1:2">
      <c r="A8" s="79">
        <v>9.76</v>
      </c>
    </row>
    <row r="9" spans="1:2">
      <c r="A9" s="79">
        <v>2.57</v>
      </c>
    </row>
    <row r="10" spans="1:2">
      <c r="A10" s="79">
        <v>0</v>
      </c>
    </row>
    <row r="11" spans="1:2">
      <c r="A11" s="79">
        <v>0</v>
      </c>
    </row>
    <row r="12" spans="1:2">
      <c r="A12" s="79">
        <v>11.14</v>
      </c>
    </row>
    <row r="13" spans="1:2">
      <c r="A13" s="79">
        <v>-0.01</v>
      </c>
    </row>
    <row r="14" spans="1:2">
      <c r="A14" s="79">
        <v>-0.01</v>
      </c>
    </row>
    <row r="15" spans="1:2">
      <c r="A15" s="79">
        <v>-7.0000000000000007E-2</v>
      </c>
    </row>
    <row r="16" spans="1:2">
      <c r="A16" s="79">
        <v>-5.09</v>
      </c>
    </row>
    <row r="17" spans="1:1">
      <c r="A17" s="79">
        <v>-10.83</v>
      </c>
    </row>
    <row r="18" spans="1:1">
      <c r="A18" s="79">
        <v>-18.47</v>
      </c>
    </row>
    <row r="19" spans="1:1">
      <c r="A19" s="79">
        <v>-33.119999999999997</v>
      </c>
    </row>
    <row r="20" spans="1:1">
      <c r="A20" s="79">
        <v>-43.45</v>
      </c>
    </row>
    <row r="21" spans="1:1">
      <c r="A21" s="79">
        <v>-44.22</v>
      </c>
    </row>
    <row r="22" spans="1:1">
      <c r="A22" s="79">
        <v>-52.05</v>
      </c>
    </row>
    <row r="23" spans="1:1">
      <c r="A23" s="79">
        <v>-69.7</v>
      </c>
    </row>
    <row r="24" spans="1:1">
      <c r="A24" s="79">
        <v>-71.03</v>
      </c>
    </row>
    <row r="25" spans="1:1">
      <c r="A25" s="79">
        <v>-77.17</v>
      </c>
    </row>
    <row r="26" spans="1:1">
      <c r="A26" s="79">
        <v>-78.12</v>
      </c>
    </row>
    <row r="27" spans="1:1">
      <c r="A27" s="79">
        <v>-78.959999999999994</v>
      </c>
    </row>
    <row r="28" spans="1:1">
      <c r="A28" s="79">
        <v>-86.12</v>
      </c>
    </row>
    <row r="29" spans="1:1">
      <c r="A29" s="79">
        <v>-89.26</v>
      </c>
    </row>
    <row r="30" spans="1:1">
      <c r="A30" s="79">
        <v>-103.65</v>
      </c>
    </row>
    <row r="31" spans="1:1">
      <c r="A31" s="79">
        <v>-112.84</v>
      </c>
    </row>
    <row r="32" spans="1:1">
      <c r="A32" s="79">
        <v>-114.9</v>
      </c>
    </row>
    <row r="33" spans="1:1">
      <c r="A33" s="79">
        <v>-197.59</v>
      </c>
    </row>
    <row r="34" spans="1:1">
      <c r="A34" s="79">
        <v>-211.19</v>
      </c>
    </row>
    <row r="35" spans="1:1">
      <c r="A35" s="79">
        <v>-287.8</v>
      </c>
    </row>
    <row r="36" spans="1:1">
      <c r="A36" s="79">
        <v>-345.16</v>
      </c>
    </row>
    <row r="37" spans="1:1">
      <c r="A37" s="79">
        <v>-438.41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B3F37-81CF-4E91-8BCC-92BCE4FC8B34}">
  <dimension ref="A1:A68"/>
  <sheetViews>
    <sheetView workbookViewId="0">
      <selection activeCell="B30" sqref="B30"/>
    </sheetView>
  </sheetViews>
  <sheetFormatPr defaultColWidth="10.75" defaultRowHeight="15"/>
  <sheetData>
    <row r="1" spans="1:1">
      <c r="A1" s="80"/>
    </row>
    <row r="2" spans="1:1">
      <c r="A2" s="81"/>
    </row>
    <row r="3" spans="1:1">
      <c r="A3" s="82"/>
    </row>
    <row r="4" spans="1:1">
      <c r="A4" s="80"/>
    </row>
    <row r="5" spans="1:1">
      <c r="A5" s="83"/>
    </row>
    <row r="6" spans="1:1">
      <c r="A6" s="81"/>
    </row>
    <row r="7" spans="1:1">
      <c r="A7" s="82"/>
    </row>
    <row r="8" spans="1:1">
      <c r="A8" s="80"/>
    </row>
    <row r="9" spans="1:1">
      <c r="A9" s="83"/>
    </row>
    <row r="10" spans="1:1">
      <c r="A10" s="80"/>
    </row>
    <row r="11" spans="1:1">
      <c r="A11" s="81"/>
    </row>
    <row r="12" spans="1:1">
      <c r="A12" s="82"/>
    </row>
    <row r="13" spans="1:1">
      <c r="A13" s="80"/>
    </row>
    <row r="14" spans="1:1">
      <c r="A14" s="83"/>
    </row>
    <row r="15" spans="1:1">
      <c r="A15" s="81"/>
    </row>
    <row r="16" spans="1:1">
      <c r="A16" s="82"/>
    </row>
    <row r="17" spans="1:1">
      <c r="A17" s="80"/>
    </row>
    <row r="18" spans="1:1">
      <c r="A18" s="83"/>
    </row>
    <row r="19" spans="1:1">
      <c r="A19" s="81"/>
    </row>
    <row r="20" spans="1:1">
      <c r="A20" s="82"/>
    </row>
    <row r="21" spans="1:1">
      <c r="A21" s="80"/>
    </row>
    <row r="22" spans="1:1">
      <c r="A22" s="83"/>
    </row>
    <row r="23" spans="1:1">
      <c r="A23" s="80"/>
    </row>
    <row r="24" spans="1:1">
      <c r="A24" s="81"/>
    </row>
    <row r="25" spans="1:1">
      <c r="A25" s="82"/>
    </row>
    <row r="26" spans="1:1">
      <c r="A26" s="80"/>
    </row>
    <row r="27" spans="1:1">
      <c r="A27" s="83"/>
    </row>
    <row r="28" spans="1:1">
      <c r="A28" s="81"/>
    </row>
    <row r="29" spans="1:1">
      <c r="A29" s="82"/>
    </row>
    <row r="30" spans="1:1">
      <c r="A30" s="80"/>
    </row>
    <row r="31" spans="1:1">
      <c r="A31" s="83"/>
    </row>
    <row r="32" spans="1:1">
      <c r="A32" s="81"/>
    </row>
    <row r="33" spans="1:1">
      <c r="A33" s="82"/>
    </row>
    <row r="34" spans="1:1">
      <c r="A34" s="80"/>
    </row>
    <row r="35" spans="1:1">
      <c r="A35" s="83"/>
    </row>
    <row r="36" spans="1:1">
      <c r="A36" s="81"/>
    </row>
    <row r="37" spans="1:1">
      <c r="A37" s="82"/>
    </row>
    <row r="38" spans="1:1">
      <c r="A38" s="80"/>
    </row>
    <row r="39" spans="1:1">
      <c r="A39" s="83"/>
    </row>
    <row r="40" spans="1:1">
      <c r="A40" s="80"/>
    </row>
    <row r="41" spans="1:1">
      <c r="A41" s="81"/>
    </row>
    <row r="42" spans="1:1">
      <c r="A42" s="82"/>
    </row>
    <row r="43" spans="1:1">
      <c r="A43" s="80"/>
    </row>
    <row r="44" spans="1:1">
      <c r="A44" s="83"/>
    </row>
    <row r="45" spans="1:1">
      <c r="A45" s="81"/>
    </row>
    <row r="46" spans="1:1">
      <c r="A46" s="82"/>
    </row>
    <row r="47" spans="1:1">
      <c r="A47" s="80"/>
    </row>
    <row r="48" spans="1:1">
      <c r="A48" s="83"/>
    </row>
    <row r="49" spans="1:1">
      <c r="A49" s="81"/>
    </row>
    <row r="50" spans="1:1">
      <c r="A50" s="82"/>
    </row>
    <row r="51" spans="1:1">
      <c r="A51" s="80"/>
    </row>
    <row r="52" spans="1:1">
      <c r="A52" s="83"/>
    </row>
    <row r="53" spans="1:1">
      <c r="A53" s="81"/>
    </row>
    <row r="54" spans="1:1">
      <c r="A54" s="82"/>
    </row>
    <row r="55" spans="1:1">
      <c r="A55" s="80"/>
    </row>
    <row r="56" spans="1:1">
      <c r="A56" s="83"/>
    </row>
    <row r="57" spans="1:1">
      <c r="A57" s="81"/>
    </row>
    <row r="58" spans="1:1">
      <c r="A58" s="82"/>
    </row>
    <row r="59" spans="1:1">
      <c r="A59" s="80"/>
    </row>
    <row r="60" spans="1:1">
      <c r="A60" s="83"/>
    </row>
    <row r="61" spans="1:1">
      <c r="A61" s="80"/>
    </row>
    <row r="62" spans="1:1">
      <c r="A62" s="81"/>
    </row>
    <row r="63" spans="1:1">
      <c r="A63" s="82"/>
    </row>
    <row r="64" spans="1:1">
      <c r="A64" s="80"/>
    </row>
    <row r="65" spans="1:1">
      <c r="A65" s="83"/>
    </row>
    <row r="66" spans="1:1">
      <c r="A66" s="81"/>
    </row>
    <row r="67" spans="1:1">
      <c r="A67" s="82"/>
    </row>
    <row r="68" spans="1:1">
      <c r="A68" s="8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13DDA9827A4A4BB0F3485B8ADC684D" ma:contentTypeVersion="14" ma:contentTypeDescription="Crear nuevo documento." ma:contentTypeScope="" ma:versionID="ebb89e15afd5b02597d3f457f59e7cf0">
  <xsd:schema xmlns:xsd="http://www.w3.org/2001/XMLSchema" xmlns:xs="http://www.w3.org/2001/XMLSchema" xmlns:p="http://schemas.microsoft.com/office/2006/metadata/properties" xmlns:ns3="d29a398a-dd38-4db1-a98d-b7feb31fbd40" xmlns:ns4="9e136f0a-2c87-4afb-9e53-b41140b8258a" targetNamespace="http://schemas.microsoft.com/office/2006/metadata/properties" ma:root="true" ma:fieldsID="0257372aa99930fa450dd66b8477ce89" ns3:_="" ns4:_="">
    <xsd:import namespace="d29a398a-dd38-4db1-a98d-b7feb31fbd40"/>
    <xsd:import namespace="9e136f0a-2c87-4afb-9e53-b41140b8258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9a398a-dd38-4db1-a98d-b7feb31fbd4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36f0a-2c87-4afb-9e53-b41140b8258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29a398a-dd38-4db1-a98d-b7feb31fbd4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579E31-7FE7-43FB-B7DC-05B0C37345E3}"/>
</file>

<file path=customXml/itemProps2.xml><?xml version="1.0" encoding="utf-8"?>
<ds:datastoreItem xmlns:ds="http://schemas.openxmlformats.org/officeDocument/2006/customXml" ds:itemID="{A919B9B9-2E32-4858-A500-1040B931AC10}"/>
</file>

<file path=customXml/itemProps3.xml><?xml version="1.0" encoding="utf-8"?>
<ds:datastoreItem xmlns:ds="http://schemas.openxmlformats.org/officeDocument/2006/customXml" ds:itemID="{B0C7FC9E-A076-4A92-9D15-077DF7C02708}"/>
</file>

<file path=docMetadata/LabelInfo.xml><?xml version="1.0" encoding="utf-8"?>
<clbl:labelList xmlns:clbl="http://schemas.microsoft.com/office/2020/mipLabelMetadata">
  <clbl:label id="{85a9557c-1e59-4ae1-9b44-9f62afc03cce}" enabled="0" method="" siteId="{85a9557c-1e59-4ae1-9b44-9f62afc03cc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2026-04-24T05:57:13Z</dcterms:created>
  <dcterms:modified xsi:type="dcterms:W3CDTF">2026-07-27T19:36:31Z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0x010100FE13DDA9827A4A4BB0F3485B8ADC684D</vt:lpwstr>
  </property>
</Properties>
</file>